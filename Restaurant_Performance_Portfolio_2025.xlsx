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مشاريعي\"/>
    </mc:Choice>
  </mc:AlternateContent>
  <xr:revisionPtr revIDLastSave="0" documentId="13_ncr:1_{885F0128-CF1C-45C4-BDC8-0C703FB4ED34}" xr6:coauthVersionLast="47" xr6:coauthVersionMax="47" xr10:uidLastSave="{00000000-0000-0000-0000-000000000000}"/>
  <bookViews>
    <workbookView xWindow="-120" yWindow="-120" windowWidth="20730" windowHeight="11160" tabRatio="500" activeTab="1" xr2:uid="{00000000-000D-0000-FFFF-FFFF00000000}"/>
  </bookViews>
  <sheets>
    <sheet name="📋 Raw Data" sheetId="1" r:id="rId1"/>
    <sheet name="📊 Dashboard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3" i="2" l="1"/>
  <c r="I22" i="2"/>
  <c r="I21" i="2"/>
  <c r="D15" i="2"/>
  <c r="D14" i="2"/>
  <c r="D13" i="2"/>
  <c r="D12" i="2"/>
  <c r="D11" i="2"/>
  <c r="G6" i="2"/>
  <c r="J241" i="1"/>
  <c r="J240" i="1"/>
  <c r="L239" i="1"/>
  <c r="M239" i="1" s="1"/>
  <c r="J239" i="1"/>
  <c r="K239" i="1" s="1"/>
  <c r="J238" i="1"/>
  <c r="K238" i="1" s="1"/>
  <c r="J237" i="1"/>
  <c r="J236" i="1"/>
  <c r="L235" i="1"/>
  <c r="M235" i="1" s="1"/>
  <c r="J235" i="1"/>
  <c r="K235" i="1" s="1"/>
  <c r="J234" i="1"/>
  <c r="J233" i="1"/>
  <c r="J232" i="1"/>
  <c r="L231" i="1"/>
  <c r="M231" i="1" s="1"/>
  <c r="J231" i="1"/>
  <c r="K231" i="1" s="1"/>
  <c r="J230" i="1"/>
  <c r="K230" i="1" s="1"/>
  <c r="J229" i="1"/>
  <c r="J228" i="1"/>
  <c r="L227" i="1"/>
  <c r="M227" i="1" s="1"/>
  <c r="J227" i="1"/>
  <c r="K227" i="1" s="1"/>
  <c r="J226" i="1"/>
  <c r="J225" i="1"/>
  <c r="J224" i="1"/>
  <c r="L223" i="1"/>
  <c r="M223" i="1" s="1"/>
  <c r="J223" i="1"/>
  <c r="K223" i="1" s="1"/>
  <c r="J222" i="1"/>
  <c r="K222" i="1" s="1"/>
  <c r="J221" i="1"/>
  <c r="J220" i="1"/>
  <c r="L219" i="1"/>
  <c r="M219" i="1" s="1"/>
  <c r="J219" i="1"/>
  <c r="K219" i="1" s="1"/>
  <c r="J218" i="1"/>
  <c r="J217" i="1"/>
  <c r="J216" i="1"/>
  <c r="L215" i="1"/>
  <c r="M215" i="1" s="1"/>
  <c r="J215" i="1"/>
  <c r="K215" i="1" s="1"/>
  <c r="J214" i="1"/>
  <c r="K214" i="1" s="1"/>
  <c r="J213" i="1"/>
  <c r="J212" i="1"/>
  <c r="L211" i="1"/>
  <c r="M211" i="1" s="1"/>
  <c r="J211" i="1"/>
  <c r="K211" i="1" s="1"/>
  <c r="J210" i="1"/>
  <c r="J209" i="1"/>
  <c r="J208" i="1"/>
  <c r="L207" i="1"/>
  <c r="M207" i="1" s="1"/>
  <c r="J207" i="1"/>
  <c r="K207" i="1" s="1"/>
  <c r="J206" i="1"/>
  <c r="J205" i="1"/>
  <c r="J204" i="1"/>
  <c r="L203" i="1"/>
  <c r="M203" i="1" s="1"/>
  <c r="J203" i="1"/>
  <c r="K203" i="1" s="1"/>
  <c r="J202" i="1"/>
  <c r="J201" i="1"/>
  <c r="J200" i="1"/>
  <c r="L199" i="1"/>
  <c r="M199" i="1" s="1"/>
  <c r="J199" i="1"/>
  <c r="K199" i="1" s="1"/>
  <c r="J198" i="1"/>
  <c r="J197" i="1"/>
  <c r="J196" i="1"/>
  <c r="L195" i="1"/>
  <c r="M195" i="1" s="1"/>
  <c r="J195" i="1"/>
  <c r="K195" i="1" s="1"/>
  <c r="J194" i="1"/>
  <c r="J193" i="1"/>
  <c r="J192" i="1"/>
  <c r="L191" i="1"/>
  <c r="M191" i="1" s="1"/>
  <c r="J191" i="1"/>
  <c r="K191" i="1" s="1"/>
  <c r="J190" i="1"/>
  <c r="J189" i="1"/>
  <c r="J188" i="1"/>
  <c r="L187" i="1"/>
  <c r="M187" i="1" s="1"/>
  <c r="J187" i="1"/>
  <c r="K187" i="1" s="1"/>
  <c r="J186" i="1"/>
  <c r="J185" i="1"/>
  <c r="J184" i="1"/>
  <c r="L183" i="1"/>
  <c r="M183" i="1" s="1"/>
  <c r="J183" i="1"/>
  <c r="K183" i="1" s="1"/>
  <c r="J182" i="1"/>
  <c r="J181" i="1"/>
  <c r="J180" i="1"/>
  <c r="L179" i="1"/>
  <c r="M179" i="1" s="1"/>
  <c r="J179" i="1"/>
  <c r="K179" i="1" s="1"/>
  <c r="J178" i="1"/>
  <c r="J177" i="1"/>
  <c r="J176" i="1"/>
  <c r="L175" i="1"/>
  <c r="M175" i="1" s="1"/>
  <c r="J175" i="1"/>
  <c r="K175" i="1" s="1"/>
  <c r="J174" i="1"/>
  <c r="J173" i="1"/>
  <c r="J172" i="1"/>
  <c r="L171" i="1"/>
  <c r="M171" i="1" s="1"/>
  <c r="J171" i="1"/>
  <c r="K171" i="1" s="1"/>
  <c r="J170" i="1"/>
  <c r="K170" i="1" s="1"/>
  <c r="J169" i="1"/>
  <c r="J168" i="1"/>
  <c r="L167" i="1"/>
  <c r="M167" i="1" s="1"/>
  <c r="J167" i="1"/>
  <c r="K167" i="1" s="1"/>
  <c r="J166" i="1"/>
  <c r="J165" i="1"/>
  <c r="J164" i="1"/>
  <c r="L163" i="1"/>
  <c r="M163" i="1" s="1"/>
  <c r="J163" i="1"/>
  <c r="K163" i="1" s="1"/>
  <c r="J162" i="1"/>
  <c r="K162" i="1" s="1"/>
  <c r="J161" i="1"/>
  <c r="J160" i="1"/>
  <c r="L159" i="1"/>
  <c r="M159" i="1" s="1"/>
  <c r="J159" i="1"/>
  <c r="K159" i="1" s="1"/>
  <c r="J158" i="1"/>
  <c r="J157" i="1"/>
  <c r="J156" i="1"/>
  <c r="L155" i="1"/>
  <c r="M155" i="1" s="1"/>
  <c r="J155" i="1"/>
  <c r="K155" i="1" s="1"/>
  <c r="J154" i="1"/>
  <c r="K154" i="1" s="1"/>
  <c r="J153" i="1"/>
  <c r="J152" i="1"/>
  <c r="L151" i="1"/>
  <c r="M151" i="1" s="1"/>
  <c r="J151" i="1"/>
  <c r="K151" i="1" s="1"/>
  <c r="J150" i="1"/>
  <c r="J149" i="1"/>
  <c r="J148" i="1"/>
  <c r="L147" i="1"/>
  <c r="M147" i="1" s="1"/>
  <c r="J147" i="1"/>
  <c r="K147" i="1" s="1"/>
  <c r="J146" i="1"/>
  <c r="K146" i="1" s="1"/>
  <c r="J145" i="1"/>
  <c r="J144" i="1"/>
  <c r="L143" i="1"/>
  <c r="M143" i="1" s="1"/>
  <c r="J143" i="1"/>
  <c r="K143" i="1" s="1"/>
  <c r="J142" i="1"/>
  <c r="J141" i="1"/>
  <c r="J140" i="1"/>
  <c r="L139" i="1"/>
  <c r="M139" i="1" s="1"/>
  <c r="J139" i="1"/>
  <c r="K139" i="1" s="1"/>
  <c r="J138" i="1"/>
  <c r="K138" i="1" s="1"/>
  <c r="J137" i="1"/>
  <c r="J136" i="1"/>
  <c r="L135" i="1"/>
  <c r="M135" i="1" s="1"/>
  <c r="J135" i="1"/>
  <c r="K135" i="1" s="1"/>
  <c r="J134" i="1"/>
  <c r="J133" i="1"/>
  <c r="K133" i="1" s="1"/>
  <c r="J132" i="1"/>
  <c r="K132" i="1" s="1"/>
  <c r="L131" i="1"/>
  <c r="M131" i="1" s="1"/>
  <c r="J131" i="1"/>
  <c r="K131" i="1" s="1"/>
  <c r="J130" i="1"/>
  <c r="J129" i="1"/>
  <c r="K129" i="1" s="1"/>
  <c r="J128" i="1"/>
  <c r="K128" i="1" s="1"/>
  <c r="L127" i="1"/>
  <c r="M127" i="1" s="1"/>
  <c r="J127" i="1"/>
  <c r="K127" i="1" s="1"/>
  <c r="J126" i="1"/>
  <c r="J125" i="1"/>
  <c r="K125" i="1" s="1"/>
  <c r="J124" i="1"/>
  <c r="K124" i="1" s="1"/>
  <c r="L123" i="1"/>
  <c r="M123" i="1" s="1"/>
  <c r="J123" i="1"/>
  <c r="K123" i="1" s="1"/>
  <c r="J122" i="1"/>
  <c r="J121" i="1"/>
  <c r="K121" i="1" s="1"/>
  <c r="J120" i="1"/>
  <c r="K120" i="1" s="1"/>
  <c r="L119" i="1"/>
  <c r="M119" i="1" s="1"/>
  <c r="J119" i="1"/>
  <c r="K119" i="1" s="1"/>
  <c r="J118" i="1"/>
  <c r="J117" i="1"/>
  <c r="K117" i="1" s="1"/>
  <c r="J116" i="1"/>
  <c r="K116" i="1" s="1"/>
  <c r="L115" i="1"/>
  <c r="M115" i="1" s="1"/>
  <c r="J115" i="1"/>
  <c r="K115" i="1" s="1"/>
  <c r="J114" i="1"/>
  <c r="J113" i="1"/>
  <c r="K113" i="1" s="1"/>
  <c r="J112" i="1"/>
  <c r="K112" i="1" s="1"/>
  <c r="L111" i="1"/>
  <c r="M111" i="1" s="1"/>
  <c r="J111" i="1"/>
  <c r="K111" i="1" s="1"/>
  <c r="J110" i="1"/>
  <c r="J109" i="1"/>
  <c r="K109" i="1" s="1"/>
  <c r="J108" i="1"/>
  <c r="K108" i="1" s="1"/>
  <c r="J107" i="1"/>
  <c r="K107" i="1" s="1"/>
  <c r="L107" i="1" s="1"/>
  <c r="M107" i="1" s="1"/>
  <c r="J106" i="1"/>
  <c r="K106" i="1" s="1"/>
  <c r="L106" i="1" s="1"/>
  <c r="M106" i="1" s="1"/>
  <c r="J105" i="1"/>
  <c r="K105" i="1" s="1"/>
  <c r="L105" i="1" s="1"/>
  <c r="M105" i="1" s="1"/>
  <c r="J104" i="1"/>
  <c r="K104" i="1" s="1"/>
  <c r="L104" i="1" s="1"/>
  <c r="M104" i="1" s="1"/>
  <c r="J103" i="1"/>
  <c r="K103" i="1" s="1"/>
  <c r="L103" i="1" s="1"/>
  <c r="M103" i="1" s="1"/>
  <c r="J102" i="1"/>
  <c r="K102" i="1" s="1"/>
  <c r="L102" i="1" s="1"/>
  <c r="M102" i="1" s="1"/>
  <c r="J101" i="1"/>
  <c r="K101" i="1" s="1"/>
  <c r="L101" i="1" s="1"/>
  <c r="M101" i="1" s="1"/>
  <c r="J100" i="1"/>
  <c r="K100" i="1" s="1"/>
  <c r="L100" i="1" s="1"/>
  <c r="M100" i="1" s="1"/>
  <c r="J99" i="1"/>
  <c r="K99" i="1" s="1"/>
  <c r="L99" i="1" s="1"/>
  <c r="M99" i="1" s="1"/>
  <c r="J98" i="1"/>
  <c r="K98" i="1" s="1"/>
  <c r="L98" i="1" s="1"/>
  <c r="M98" i="1" s="1"/>
  <c r="J97" i="1"/>
  <c r="K97" i="1" s="1"/>
  <c r="L97" i="1" s="1"/>
  <c r="M97" i="1" s="1"/>
  <c r="J96" i="1"/>
  <c r="K96" i="1" s="1"/>
  <c r="L96" i="1" s="1"/>
  <c r="M96" i="1" s="1"/>
  <c r="J95" i="1"/>
  <c r="K95" i="1" s="1"/>
  <c r="L95" i="1" s="1"/>
  <c r="M95" i="1" s="1"/>
  <c r="J94" i="1"/>
  <c r="K94" i="1" s="1"/>
  <c r="L94" i="1" s="1"/>
  <c r="M94" i="1" s="1"/>
  <c r="J93" i="1"/>
  <c r="K93" i="1" s="1"/>
  <c r="L93" i="1" s="1"/>
  <c r="M93" i="1" s="1"/>
  <c r="J92" i="1"/>
  <c r="K92" i="1" s="1"/>
  <c r="L92" i="1" s="1"/>
  <c r="M92" i="1" s="1"/>
  <c r="J91" i="1"/>
  <c r="K91" i="1" s="1"/>
  <c r="L91" i="1" s="1"/>
  <c r="M91" i="1" s="1"/>
  <c r="J90" i="1"/>
  <c r="K90" i="1" s="1"/>
  <c r="L90" i="1" s="1"/>
  <c r="M90" i="1" s="1"/>
  <c r="J89" i="1"/>
  <c r="K89" i="1" s="1"/>
  <c r="L89" i="1" s="1"/>
  <c r="M89" i="1" s="1"/>
  <c r="J88" i="1"/>
  <c r="K88" i="1" s="1"/>
  <c r="L88" i="1" s="1"/>
  <c r="M88" i="1" s="1"/>
  <c r="J87" i="1"/>
  <c r="K87" i="1" s="1"/>
  <c r="L87" i="1" s="1"/>
  <c r="M87" i="1" s="1"/>
  <c r="J86" i="1"/>
  <c r="K86" i="1" s="1"/>
  <c r="L86" i="1" s="1"/>
  <c r="M86" i="1" s="1"/>
  <c r="J85" i="1"/>
  <c r="K85" i="1" s="1"/>
  <c r="L85" i="1" s="1"/>
  <c r="M85" i="1" s="1"/>
  <c r="J84" i="1"/>
  <c r="K84" i="1" s="1"/>
  <c r="L84" i="1" s="1"/>
  <c r="M84" i="1" s="1"/>
  <c r="J83" i="1"/>
  <c r="K83" i="1" s="1"/>
  <c r="L83" i="1" s="1"/>
  <c r="M83" i="1" s="1"/>
  <c r="J82" i="1"/>
  <c r="K82" i="1" s="1"/>
  <c r="L82" i="1" s="1"/>
  <c r="M82" i="1" s="1"/>
  <c r="J81" i="1"/>
  <c r="K81" i="1" s="1"/>
  <c r="L81" i="1" s="1"/>
  <c r="M81" i="1" s="1"/>
  <c r="J80" i="1"/>
  <c r="K80" i="1" s="1"/>
  <c r="L80" i="1" s="1"/>
  <c r="M80" i="1" s="1"/>
  <c r="J79" i="1"/>
  <c r="K79" i="1" s="1"/>
  <c r="L79" i="1" s="1"/>
  <c r="M79" i="1" s="1"/>
  <c r="J78" i="1"/>
  <c r="K78" i="1" s="1"/>
  <c r="L78" i="1" s="1"/>
  <c r="M78" i="1" s="1"/>
  <c r="J77" i="1"/>
  <c r="K77" i="1" s="1"/>
  <c r="L77" i="1" s="1"/>
  <c r="M77" i="1" s="1"/>
  <c r="J76" i="1"/>
  <c r="K76" i="1" s="1"/>
  <c r="L76" i="1" s="1"/>
  <c r="M76" i="1" s="1"/>
  <c r="J75" i="1"/>
  <c r="K75" i="1" s="1"/>
  <c r="L75" i="1" s="1"/>
  <c r="M75" i="1" s="1"/>
  <c r="J74" i="1"/>
  <c r="K74" i="1" s="1"/>
  <c r="L74" i="1" s="1"/>
  <c r="M74" i="1" s="1"/>
  <c r="J73" i="1"/>
  <c r="K73" i="1" s="1"/>
  <c r="L73" i="1" s="1"/>
  <c r="M73" i="1" s="1"/>
  <c r="J72" i="1"/>
  <c r="K72" i="1" s="1"/>
  <c r="L72" i="1" s="1"/>
  <c r="M72" i="1" s="1"/>
  <c r="J71" i="1"/>
  <c r="K71" i="1" s="1"/>
  <c r="L71" i="1" s="1"/>
  <c r="M71" i="1" s="1"/>
  <c r="J70" i="1"/>
  <c r="K70" i="1" s="1"/>
  <c r="L70" i="1" s="1"/>
  <c r="M70" i="1" s="1"/>
  <c r="J69" i="1"/>
  <c r="K69" i="1" s="1"/>
  <c r="L69" i="1" s="1"/>
  <c r="M69" i="1" s="1"/>
  <c r="J68" i="1"/>
  <c r="K68" i="1" s="1"/>
  <c r="L68" i="1" s="1"/>
  <c r="M68" i="1" s="1"/>
  <c r="J67" i="1"/>
  <c r="K67" i="1" s="1"/>
  <c r="L67" i="1" s="1"/>
  <c r="M67" i="1" s="1"/>
  <c r="J66" i="1"/>
  <c r="K66" i="1" s="1"/>
  <c r="L66" i="1" s="1"/>
  <c r="M66" i="1" s="1"/>
  <c r="J65" i="1"/>
  <c r="K65" i="1" s="1"/>
  <c r="L65" i="1" s="1"/>
  <c r="M65" i="1" s="1"/>
  <c r="J64" i="1"/>
  <c r="K64" i="1" s="1"/>
  <c r="L64" i="1" s="1"/>
  <c r="M64" i="1" s="1"/>
  <c r="J63" i="1"/>
  <c r="K63" i="1" s="1"/>
  <c r="L63" i="1" s="1"/>
  <c r="M63" i="1" s="1"/>
  <c r="J62" i="1"/>
  <c r="K62" i="1" s="1"/>
  <c r="L62" i="1" s="1"/>
  <c r="M62" i="1" s="1"/>
  <c r="J61" i="1"/>
  <c r="K61" i="1" s="1"/>
  <c r="L61" i="1" s="1"/>
  <c r="M61" i="1" s="1"/>
  <c r="J60" i="1"/>
  <c r="K60" i="1" s="1"/>
  <c r="L60" i="1" s="1"/>
  <c r="M60" i="1" s="1"/>
  <c r="J59" i="1"/>
  <c r="K59" i="1" s="1"/>
  <c r="L59" i="1" s="1"/>
  <c r="M59" i="1" s="1"/>
  <c r="J58" i="1"/>
  <c r="K58" i="1" s="1"/>
  <c r="L58" i="1" s="1"/>
  <c r="M58" i="1" s="1"/>
  <c r="J57" i="1"/>
  <c r="K57" i="1" s="1"/>
  <c r="L57" i="1" s="1"/>
  <c r="M57" i="1" s="1"/>
  <c r="J56" i="1"/>
  <c r="K56" i="1" s="1"/>
  <c r="L56" i="1" s="1"/>
  <c r="M56" i="1" s="1"/>
  <c r="J55" i="1"/>
  <c r="K55" i="1" s="1"/>
  <c r="L55" i="1" s="1"/>
  <c r="M55" i="1" s="1"/>
  <c r="J54" i="1"/>
  <c r="K54" i="1" s="1"/>
  <c r="L54" i="1" s="1"/>
  <c r="M54" i="1" s="1"/>
  <c r="J53" i="1"/>
  <c r="K53" i="1" s="1"/>
  <c r="L53" i="1" s="1"/>
  <c r="M53" i="1" s="1"/>
  <c r="J52" i="1"/>
  <c r="K52" i="1" s="1"/>
  <c r="L52" i="1" s="1"/>
  <c r="M52" i="1" s="1"/>
  <c r="J51" i="1"/>
  <c r="K51" i="1" s="1"/>
  <c r="L51" i="1" s="1"/>
  <c r="M51" i="1" s="1"/>
  <c r="J50" i="1"/>
  <c r="K50" i="1" s="1"/>
  <c r="L50" i="1" s="1"/>
  <c r="M50" i="1" s="1"/>
  <c r="J49" i="1"/>
  <c r="K49" i="1" s="1"/>
  <c r="L49" i="1" s="1"/>
  <c r="M49" i="1" s="1"/>
  <c r="J48" i="1"/>
  <c r="K48" i="1" s="1"/>
  <c r="L48" i="1" s="1"/>
  <c r="M48" i="1" s="1"/>
  <c r="J47" i="1"/>
  <c r="K47" i="1" s="1"/>
  <c r="L47" i="1" s="1"/>
  <c r="M47" i="1" s="1"/>
  <c r="J46" i="1"/>
  <c r="K46" i="1" s="1"/>
  <c r="L46" i="1" s="1"/>
  <c r="M46" i="1" s="1"/>
  <c r="J45" i="1"/>
  <c r="K45" i="1" s="1"/>
  <c r="L45" i="1" s="1"/>
  <c r="M45" i="1" s="1"/>
  <c r="J44" i="1"/>
  <c r="K44" i="1" s="1"/>
  <c r="L44" i="1" s="1"/>
  <c r="M44" i="1" s="1"/>
  <c r="J43" i="1"/>
  <c r="K43" i="1" s="1"/>
  <c r="L43" i="1" s="1"/>
  <c r="M43" i="1" s="1"/>
  <c r="J42" i="1"/>
  <c r="K42" i="1" s="1"/>
  <c r="L42" i="1" s="1"/>
  <c r="M42" i="1" s="1"/>
  <c r="J41" i="1"/>
  <c r="K41" i="1" s="1"/>
  <c r="L41" i="1" s="1"/>
  <c r="M41" i="1" s="1"/>
  <c r="J40" i="1"/>
  <c r="K40" i="1" s="1"/>
  <c r="L40" i="1" s="1"/>
  <c r="M40" i="1" s="1"/>
  <c r="J39" i="1"/>
  <c r="K39" i="1" s="1"/>
  <c r="L39" i="1" s="1"/>
  <c r="M39" i="1" s="1"/>
  <c r="J38" i="1"/>
  <c r="K38" i="1" s="1"/>
  <c r="L38" i="1" s="1"/>
  <c r="M38" i="1" s="1"/>
  <c r="J37" i="1"/>
  <c r="K37" i="1" s="1"/>
  <c r="L37" i="1" s="1"/>
  <c r="M37" i="1" s="1"/>
  <c r="J36" i="1"/>
  <c r="K36" i="1" s="1"/>
  <c r="L36" i="1" s="1"/>
  <c r="M36" i="1" s="1"/>
  <c r="J35" i="1"/>
  <c r="K35" i="1" s="1"/>
  <c r="L35" i="1" s="1"/>
  <c r="M35" i="1" s="1"/>
  <c r="J34" i="1"/>
  <c r="K34" i="1" s="1"/>
  <c r="L34" i="1" s="1"/>
  <c r="M34" i="1" s="1"/>
  <c r="J33" i="1"/>
  <c r="K33" i="1" s="1"/>
  <c r="L33" i="1" s="1"/>
  <c r="M33" i="1" s="1"/>
  <c r="J32" i="1"/>
  <c r="K32" i="1" s="1"/>
  <c r="L32" i="1" s="1"/>
  <c r="M32" i="1" s="1"/>
  <c r="J31" i="1"/>
  <c r="K31" i="1" s="1"/>
  <c r="L31" i="1" s="1"/>
  <c r="M31" i="1" s="1"/>
  <c r="J30" i="1"/>
  <c r="K30" i="1" s="1"/>
  <c r="L30" i="1" s="1"/>
  <c r="M30" i="1" s="1"/>
  <c r="J29" i="1"/>
  <c r="K29" i="1" s="1"/>
  <c r="L29" i="1" s="1"/>
  <c r="M29" i="1" s="1"/>
  <c r="J28" i="1"/>
  <c r="K28" i="1" s="1"/>
  <c r="L28" i="1" s="1"/>
  <c r="M28" i="1" s="1"/>
  <c r="J27" i="1"/>
  <c r="K27" i="1" s="1"/>
  <c r="L27" i="1" s="1"/>
  <c r="M27" i="1" s="1"/>
  <c r="J26" i="1"/>
  <c r="K26" i="1" s="1"/>
  <c r="L26" i="1" s="1"/>
  <c r="M26" i="1" s="1"/>
  <c r="J25" i="1"/>
  <c r="K25" i="1" s="1"/>
  <c r="L25" i="1" s="1"/>
  <c r="M25" i="1" s="1"/>
  <c r="J24" i="1"/>
  <c r="J23" i="1"/>
  <c r="K23" i="1" s="1"/>
  <c r="L23" i="1" s="1"/>
  <c r="J22" i="1"/>
  <c r="K22" i="1" s="1"/>
  <c r="L22" i="1" s="1"/>
  <c r="J21" i="1"/>
  <c r="K21" i="1" s="1"/>
  <c r="L21" i="1" s="1"/>
  <c r="J20" i="1"/>
  <c r="K20" i="1" s="1"/>
  <c r="L20" i="1" s="1"/>
  <c r="J19" i="1"/>
  <c r="K19" i="1" s="1"/>
  <c r="L19" i="1" s="1"/>
  <c r="J18" i="1"/>
  <c r="K18" i="1" s="1"/>
  <c r="L18" i="1" s="1"/>
  <c r="J17" i="1"/>
  <c r="K17" i="1" s="1"/>
  <c r="L17" i="1" s="1"/>
  <c r="J16" i="1"/>
  <c r="K16" i="1" s="1"/>
  <c r="L16" i="1" s="1"/>
  <c r="J15" i="1"/>
  <c r="K15" i="1" s="1"/>
  <c r="L15" i="1" s="1"/>
  <c r="J14" i="1"/>
  <c r="K14" i="1" s="1"/>
  <c r="L14" i="1" s="1"/>
  <c r="J13" i="1"/>
  <c r="K13" i="1" s="1"/>
  <c r="L13" i="1" s="1"/>
  <c r="J12" i="1"/>
  <c r="K12" i="1" s="1"/>
  <c r="L12" i="1" s="1"/>
  <c r="J11" i="1"/>
  <c r="K11" i="1" s="1"/>
  <c r="L11" i="1" s="1"/>
  <c r="J10" i="1"/>
  <c r="K10" i="1" s="1"/>
  <c r="L10" i="1" s="1"/>
  <c r="J9" i="1"/>
  <c r="K9" i="1" s="1"/>
  <c r="L9" i="1" s="1"/>
  <c r="J8" i="1"/>
  <c r="J7" i="1"/>
  <c r="J6" i="1"/>
  <c r="J5" i="1"/>
  <c r="J4" i="1"/>
  <c r="J3" i="1"/>
  <c r="J2" i="1"/>
  <c r="G23" i="2" l="1"/>
  <c r="B15" i="2"/>
  <c r="K6" i="1"/>
  <c r="L6" i="1" s="1"/>
  <c r="K158" i="1"/>
  <c r="L158" i="1" s="1"/>
  <c r="M158" i="1" s="1"/>
  <c r="K172" i="1"/>
  <c r="L172" i="1"/>
  <c r="M172" i="1" s="1"/>
  <c r="K190" i="1"/>
  <c r="L190" i="1"/>
  <c r="M190" i="1" s="1"/>
  <c r="K114" i="1"/>
  <c r="L114" i="1"/>
  <c r="M114" i="1" s="1"/>
  <c r="K122" i="1"/>
  <c r="L122" i="1"/>
  <c r="M122" i="1" s="1"/>
  <c r="K130" i="1"/>
  <c r="L130" i="1" s="1"/>
  <c r="M130" i="1" s="1"/>
  <c r="K150" i="1"/>
  <c r="L150" i="1" s="1"/>
  <c r="M150" i="1" s="1"/>
  <c r="K153" i="1"/>
  <c r="L153" i="1"/>
  <c r="M153" i="1" s="1"/>
  <c r="K164" i="1"/>
  <c r="L164" i="1"/>
  <c r="M164" i="1"/>
  <c r="K182" i="1"/>
  <c r="L182" i="1" s="1"/>
  <c r="M182" i="1" s="1"/>
  <c r="G15" i="2"/>
  <c r="K4" i="1"/>
  <c r="L4" i="1" s="1"/>
  <c r="K140" i="1"/>
  <c r="L140" i="1"/>
  <c r="M140" i="1" s="1"/>
  <c r="G14" i="2"/>
  <c r="G22" i="2"/>
  <c r="K5" i="1"/>
  <c r="K142" i="1"/>
  <c r="L142" i="1"/>
  <c r="M142" i="1" s="1"/>
  <c r="K145" i="1"/>
  <c r="L145" i="1" s="1"/>
  <c r="M145" i="1" s="1"/>
  <c r="K156" i="1"/>
  <c r="L156" i="1" s="1"/>
  <c r="M156" i="1" s="1"/>
  <c r="K174" i="1"/>
  <c r="M174" i="1"/>
  <c r="L174" i="1"/>
  <c r="K206" i="1"/>
  <c r="L206" i="1"/>
  <c r="M206" i="1" s="1"/>
  <c r="B30" i="2"/>
  <c r="B26" i="2"/>
  <c r="B23" i="2"/>
  <c r="B21" i="2"/>
  <c r="B31" i="2"/>
  <c r="B27" i="2"/>
  <c r="G21" i="2"/>
  <c r="B32" i="2"/>
  <c r="B29" i="2"/>
  <c r="B28" i="2"/>
  <c r="B13" i="2"/>
  <c r="B25" i="2"/>
  <c r="B22" i="2"/>
  <c r="G13" i="2"/>
  <c r="B24" i="2"/>
  <c r="K2" i="1"/>
  <c r="L2" i="1" s="1"/>
  <c r="A6" i="2"/>
  <c r="K161" i="1"/>
  <c r="L161" i="1"/>
  <c r="M161" i="1" s="1"/>
  <c r="G12" i="2"/>
  <c r="B12" i="2"/>
  <c r="K3" i="1"/>
  <c r="M3" i="1"/>
  <c r="K7" i="1"/>
  <c r="L3" i="1"/>
  <c r="L5" i="1"/>
  <c r="L7" i="1"/>
  <c r="M7" i="1" s="1"/>
  <c r="K110" i="1"/>
  <c r="L110" i="1"/>
  <c r="M110" i="1" s="1"/>
  <c r="K118" i="1"/>
  <c r="L118" i="1"/>
  <c r="M118" i="1" s="1"/>
  <c r="K126" i="1"/>
  <c r="L126" i="1" s="1"/>
  <c r="M126" i="1" s="1"/>
  <c r="K134" i="1"/>
  <c r="L134" i="1" s="1"/>
  <c r="M134" i="1" s="1"/>
  <c r="K137" i="1"/>
  <c r="L137" i="1"/>
  <c r="M137" i="1" s="1"/>
  <c r="K148" i="1"/>
  <c r="L148" i="1" s="1"/>
  <c r="M148" i="1" s="1"/>
  <c r="K166" i="1"/>
  <c r="L166" i="1" s="1"/>
  <c r="M166" i="1" s="1"/>
  <c r="K169" i="1"/>
  <c r="L169" i="1" s="1"/>
  <c r="M169" i="1" s="1"/>
  <c r="K198" i="1"/>
  <c r="L198" i="1"/>
  <c r="M198" i="1" s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K178" i="1"/>
  <c r="L178" i="1" s="1"/>
  <c r="M178" i="1" s="1"/>
  <c r="K180" i="1"/>
  <c r="L180" i="1"/>
  <c r="K186" i="1"/>
  <c r="L186" i="1" s="1"/>
  <c r="M186" i="1" s="1"/>
  <c r="K188" i="1"/>
  <c r="L188" i="1"/>
  <c r="M188" i="1" s="1"/>
  <c r="K194" i="1"/>
  <c r="L194" i="1" s="1"/>
  <c r="M194" i="1" s="1"/>
  <c r="K196" i="1"/>
  <c r="L196" i="1"/>
  <c r="K202" i="1"/>
  <c r="L202" i="1" s="1"/>
  <c r="M202" i="1" s="1"/>
  <c r="K204" i="1"/>
  <c r="L204" i="1"/>
  <c r="K210" i="1"/>
  <c r="L210" i="1" s="1"/>
  <c r="M210" i="1" s="1"/>
  <c r="K212" i="1"/>
  <c r="L212" i="1"/>
  <c r="L214" i="1"/>
  <c r="M214" i="1" s="1"/>
  <c r="K218" i="1"/>
  <c r="L218" i="1" s="1"/>
  <c r="M218" i="1" s="1"/>
  <c r="K220" i="1"/>
  <c r="L220" i="1"/>
  <c r="M220" i="1" s="1"/>
  <c r="L222" i="1"/>
  <c r="K226" i="1"/>
  <c r="L226" i="1"/>
  <c r="K228" i="1"/>
  <c r="L228" i="1" s="1"/>
  <c r="M228" i="1" s="1"/>
  <c r="L230" i="1"/>
  <c r="K234" i="1"/>
  <c r="L234" i="1"/>
  <c r="M234" i="1" s="1"/>
  <c r="K236" i="1"/>
  <c r="L236" i="1" s="1"/>
  <c r="M236" i="1" s="1"/>
  <c r="L238" i="1"/>
  <c r="G11" i="2"/>
  <c r="B11" i="2"/>
  <c r="L109" i="1"/>
  <c r="H11" i="2" s="1"/>
  <c r="L113" i="1"/>
  <c r="M113" i="1" s="1"/>
  <c r="L117" i="1"/>
  <c r="L121" i="1"/>
  <c r="M121" i="1" s="1"/>
  <c r="L125" i="1"/>
  <c r="L129" i="1"/>
  <c r="M129" i="1" s="1"/>
  <c r="L133" i="1"/>
  <c r="K136" i="1"/>
  <c r="L136" i="1" s="1"/>
  <c r="M136" i="1" s="1"/>
  <c r="K141" i="1"/>
  <c r="M141" i="1"/>
  <c r="K144" i="1"/>
  <c r="L144" i="1" s="1"/>
  <c r="M144" i="1" s="1"/>
  <c r="K149" i="1"/>
  <c r="L149" i="1" s="1"/>
  <c r="M149" i="1" s="1"/>
  <c r="K152" i="1"/>
  <c r="L152" i="1" s="1"/>
  <c r="M152" i="1" s="1"/>
  <c r="K157" i="1"/>
  <c r="M157" i="1"/>
  <c r="K160" i="1"/>
  <c r="L160" i="1" s="1"/>
  <c r="M160" i="1" s="1"/>
  <c r="K165" i="1"/>
  <c r="K168" i="1"/>
  <c r="L168" i="1" s="1"/>
  <c r="M168" i="1" s="1"/>
  <c r="K173" i="1"/>
  <c r="M173" i="1"/>
  <c r="K176" i="1"/>
  <c r="L176" i="1" s="1"/>
  <c r="M176" i="1" s="1"/>
  <c r="M180" i="1"/>
  <c r="K184" i="1"/>
  <c r="L184" i="1"/>
  <c r="M184" i="1"/>
  <c r="K192" i="1"/>
  <c r="L192" i="1"/>
  <c r="M192" i="1" s="1"/>
  <c r="M196" i="1"/>
  <c r="K200" i="1"/>
  <c r="L200" i="1" s="1"/>
  <c r="M200" i="1" s="1"/>
  <c r="M204" i="1"/>
  <c r="K208" i="1"/>
  <c r="L208" i="1" s="1"/>
  <c r="M208" i="1" s="1"/>
  <c r="M212" i="1"/>
  <c r="K216" i="1"/>
  <c r="L216" i="1"/>
  <c r="M216" i="1" s="1"/>
  <c r="M222" i="1"/>
  <c r="K224" i="1"/>
  <c r="L224" i="1" s="1"/>
  <c r="M224" i="1" s="1"/>
  <c r="M226" i="1"/>
  <c r="M230" i="1"/>
  <c r="K232" i="1"/>
  <c r="L232" i="1"/>
  <c r="M232" i="1" s="1"/>
  <c r="M238" i="1"/>
  <c r="K240" i="1"/>
  <c r="L240" i="1" s="1"/>
  <c r="M240" i="1" s="1"/>
  <c r="B14" i="2"/>
  <c r="K8" i="1"/>
  <c r="L8" i="1" s="1"/>
  <c r="K24" i="1"/>
  <c r="L24" i="1" s="1"/>
  <c r="L108" i="1"/>
  <c r="M108" i="1" s="1"/>
  <c r="M109" i="1"/>
  <c r="L112" i="1"/>
  <c r="M112" i="1" s="1"/>
  <c r="L116" i="1"/>
  <c r="M116" i="1" s="1"/>
  <c r="M117" i="1"/>
  <c r="L120" i="1"/>
  <c r="M120" i="1" s="1"/>
  <c r="L124" i="1"/>
  <c r="M124" i="1" s="1"/>
  <c r="M125" i="1"/>
  <c r="L128" i="1"/>
  <c r="M128" i="1" s="1"/>
  <c r="L132" i="1"/>
  <c r="M132" i="1" s="1"/>
  <c r="M133" i="1"/>
  <c r="L138" i="1"/>
  <c r="M138" i="1" s="1"/>
  <c r="L141" i="1"/>
  <c r="L146" i="1"/>
  <c r="M146" i="1" s="1"/>
  <c r="L154" i="1"/>
  <c r="M154" i="1" s="1"/>
  <c r="L157" i="1"/>
  <c r="L162" i="1"/>
  <c r="M162" i="1" s="1"/>
  <c r="L165" i="1"/>
  <c r="M165" i="1" s="1"/>
  <c r="L170" i="1"/>
  <c r="M170" i="1" s="1"/>
  <c r="L173" i="1"/>
  <c r="K177" i="1"/>
  <c r="L177" i="1" s="1"/>
  <c r="M177" i="1" s="1"/>
  <c r="K181" i="1"/>
  <c r="L181" i="1"/>
  <c r="M181" i="1" s="1"/>
  <c r="K185" i="1"/>
  <c r="L185" i="1" s="1"/>
  <c r="M185" i="1" s="1"/>
  <c r="K189" i="1"/>
  <c r="M189" i="1"/>
  <c r="L189" i="1"/>
  <c r="K193" i="1"/>
  <c r="L193" i="1" s="1"/>
  <c r="M193" i="1"/>
  <c r="K197" i="1"/>
  <c r="L197" i="1" s="1"/>
  <c r="M197" i="1" s="1"/>
  <c r="K201" i="1"/>
  <c r="L201" i="1" s="1"/>
  <c r="M201" i="1"/>
  <c r="K205" i="1"/>
  <c r="L205" i="1" s="1"/>
  <c r="M205" i="1" s="1"/>
  <c r="K209" i="1"/>
  <c r="L209" i="1" s="1"/>
  <c r="M209" i="1" s="1"/>
  <c r="K213" i="1"/>
  <c r="L213" i="1"/>
  <c r="M213" i="1" s="1"/>
  <c r="K217" i="1"/>
  <c r="L217" i="1" s="1"/>
  <c r="M217" i="1" s="1"/>
  <c r="K221" i="1"/>
  <c r="M221" i="1"/>
  <c r="L221" i="1"/>
  <c r="K225" i="1"/>
  <c r="L225" i="1" s="1"/>
  <c r="M225" i="1"/>
  <c r="K229" i="1"/>
  <c r="L229" i="1" s="1"/>
  <c r="M229" i="1" s="1"/>
  <c r="K233" i="1"/>
  <c r="L233" i="1" s="1"/>
  <c r="M233" i="1"/>
  <c r="K237" i="1"/>
  <c r="L237" i="1" s="1"/>
  <c r="M237" i="1" s="1"/>
  <c r="K241" i="1"/>
  <c r="L241" i="1" s="1"/>
  <c r="M241" i="1" s="1"/>
  <c r="C31" i="2" l="1"/>
  <c r="C27" i="2"/>
  <c r="H21" i="2"/>
  <c r="C32" i="2"/>
  <c r="D32" i="2" s="1"/>
  <c r="C28" i="2"/>
  <c r="C24" i="2"/>
  <c r="C22" i="2"/>
  <c r="C13" i="2"/>
  <c r="D6" i="2"/>
  <c r="C26" i="2"/>
  <c r="C25" i="2"/>
  <c r="C21" i="2"/>
  <c r="D21" i="2" s="1"/>
  <c r="C30" i="2"/>
  <c r="C23" i="2"/>
  <c r="H13" i="2"/>
  <c r="C29" i="2"/>
  <c r="D29" i="2" s="1"/>
  <c r="M2" i="1"/>
  <c r="H23" i="2"/>
  <c r="C15" i="2"/>
  <c r="M6" i="1"/>
  <c r="H15" i="2"/>
  <c r="M4" i="1"/>
  <c r="I11" i="2"/>
  <c r="H14" i="2"/>
  <c r="H22" i="2"/>
  <c r="D27" i="2"/>
  <c r="C12" i="2"/>
  <c r="H12" i="2"/>
  <c r="I12" i="2" s="1"/>
  <c r="D31" i="2"/>
  <c r="D30" i="2"/>
  <c r="M5" i="1"/>
  <c r="D28" i="2"/>
  <c r="D22" i="2"/>
  <c r="C11" i="2"/>
  <c r="M24" i="1"/>
  <c r="D25" i="2"/>
  <c r="I15" i="2"/>
  <c r="C14" i="2"/>
  <c r="M8" i="1"/>
  <c r="D24" i="2"/>
  <c r="D23" i="2"/>
  <c r="I13" i="2"/>
  <c r="D26" i="2"/>
  <c r="I14" i="2"/>
  <c r="J6" i="2" l="1"/>
</calcChain>
</file>

<file path=xl/sharedStrings.xml><?xml version="1.0" encoding="utf-8"?>
<sst xmlns="http://schemas.openxmlformats.org/spreadsheetml/2006/main" count="1505" uniqueCount="80">
  <si>
    <t>#</t>
  </si>
  <si>
    <t>الشهر</t>
  </si>
  <si>
    <t>اليوم</t>
  </si>
  <si>
    <t>الوردية</t>
  </si>
  <si>
    <t>الفرع</t>
  </si>
  <si>
    <t>التصنيف</t>
  </si>
  <si>
    <t>الصنف</t>
  </si>
  <si>
    <t>الكمية المباعة</t>
  </si>
  <si>
    <t>سعر الوحدة (ج.م)</t>
  </si>
  <si>
    <t>إجمالي المبيعات (ج.م)</t>
  </si>
  <si>
    <t>تكلفة البضاعة (ج.م)</t>
  </si>
  <si>
    <t>هامش الربح (ج.م)</t>
  </si>
  <si>
    <t>نسبة الربح %</t>
  </si>
  <si>
    <t>تقييم الخدمة</t>
  </si>
  <si>
    <t>يناير</t>
  </si>
  <si>
    <t>السبت</t>
  </si>
  <si>
    <t>صباحي</t>
  </si>
  <si>
    <t>فرع الزمالك</t>
  </si>
  <si>
    <t>حلويات</t>
  </si>
  <si>
    <t>بسبوسة</t>
  </si>
  <si>
    <t>الأحد</t>
  </si>
  <si>
    <t>فرع مدينة نصر</t>
  </si>
  <si>
    <t>مشروبات</t>
  </si>
  <si>
    <t>عصير برتقال</t>
  </si>
  <si>
    <t>مقبلات</t>
  </si>
  <si>
    <t>حمص</t>
  </si>
  <si>
    <t>مسائي</t>
  </si>
  <si>
    <t>وجبات سريعة</t>
  </si>
  <si>
    <t>رابتا</t>
  </si>
  <si>
    <t>الخميس</t>
  </si>
  <si>
    <t>ليلي</t>
  </si>
  <si>
    <t>فرع الهرم</t>
  </si>
  <si>
    <t>سلطة فتوش</t>
  </si>
  <si>
    <t>الجمعة</t>
  </si>
  <si>
    <t>تارت فراولة</t>
  </si>
  <si>
    <t>الثلاثاء</t>
  </si>
  <si>
    <t>فرع التجمع</t>
  </si>
  <si>
    <t>بابا غنوج</t>
  </si>
  <si>
    <t>كنافة</t>
  </si>
  <si>
    <t>الإثنين</t>
  </si>
  <si>
    <t>عصير مانجو</t>
  </si>
  <si>
    <t>وجبات رئيسية</t>
  </si>
  <si>
    <t>برجر لحم</t>
  </si>
  <si>
    <t>الأربعاء</t>
  </si>
  <si>
    <t>فتة</t>
  </si>
  <si>
    <t>كوكاكولا</t>
  </si>
  <si>
    <t>فبراير</t>
  </si>
  <si>
    <t>بيتزا صغيرة</t>
  </si>
  <si>
    <t>فراخ محشية</t>
  </si>
  <si>
    <t>فرع المعادي</t>
  </si>
  <si>
    <t>كباب مشوي</t>
  </si>
  <si>
    <t>سندوتش كلوب</t>
  </si>
  <si>
    <t>هوت دوج</t>
  </si>
  <si>
    <t>مارس</t>
  </si>
  <si>
    <t>أم علي</t>
  </si>
  <si>
    <t>قهوة</t>
  </si>
  <si>
    <t>شيش طاووق</t>
  </si>
  <si>
    <t>أبريل</t>
  </si>
  <si>
    <t>مايو</t>
  </si>
  <si>
    <t>يونيو</t>
  </si>
  <si>
    <t>يوليو</t>
  </si>
  <si>
    <t>أغسطس</t>
  </si>
  <si>
    <t>سبتمبر</t>
  </si>
  <si>
    <t>أكتوبر</t>
  </si>
  <si>
    <t>نوفمبر</t>
  </si>
  <si>
    <t>ديسمبر</t>
  </si>
  <si>
    <t>تحليل شامل لـ 5 فروع | 240 معاملة | المبيعات — الأرباح — التصنيفات — الخدمة</t>
  </si>
  <si>
    <t>🍽️ إجمالي المبيعات</t>
  </si>
  <si>
    <t>💰 إجمالي الأرباح</t>
  </si>
  <si>
    <t>⭐ متوسط تقييم الخدمة</t>
  </si>
  <si>
    <t>📊 متوسط هامش الربح</t>
  </si>
  <si>
    <t>🏪 أداء الفروع</t>
  </si>
  <si>
    <t>🍕 أداء التصنيفات</t>
  </si>
  <si>
    <t>المبيعات (ج.م)</t>
  </si>
  <si>
    <t>الأرباح (ج.م)</t>
  </si>
  <si>
    <t>متوسط التقييم</t>
  </si>
  <si>
    <t>هامش الربح %</t>
  </si>
  <si>
    <t>📅 الأداء الشهري</t>
  </si>
  <si>
    <t>⏰ أداء الورديات</t>
  </si>
  <si>
    <r>
      <t xml:space="preserve">🍽️ لوحة تحليل أداء المطاعم — </t>
    </r>
    <r>
      <rPr>
        <b/>
        <sz val="22"/>
        <color rgb="FFFFFFFF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</si>
</sst>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&quot; ج.م&quot;"/>
    <numFmt numFmtId="165" formatCode="0.0%"/>
  </numFmts>
  <fonts count="10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color rgb="FF2C3E50"/>
      <name val="Arial"/>
      <charset val="1"/>
    </font>
    <font>
      <b/>
      <sz val="20"/>
      <color rgb="FFFFFFFF"/>
      <name val="Arial"/>
      <charset val="1"/>
    </font>
    <font>
      <i/>
      <sz val="11"/>
      <color rgb="FF2C3E50"/>
      <name val="Arial"/>
      <charset val="1"/>
    </font>
    <font>
      <b/>
      <sz val="18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2C3E50"/>
      <name val="Arial"/>
      <charset val="1"/>
    </font>
    <font>
      <b/>
      <sz val="22"/>
      <color rgb="FFFFFFFF"/>
      <name val="Arial"/>
      <family val="2"/>
    </font>
    <font>
      <b/>
      <sz val="20"/>
      <color rgb="FFFFFF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4A2500"/>
        <bgColor rgb="FF2C3E50"/>
      </patternFill>
    </fill>
    <fill>
      <patternFill patternType="solid">
        <fgColor rgb="FFF4F6F7"/>
        <bgColor rgb="FFFDF6EC"/>
      </patternFill>
    </fill>
    <fill>
      <patternFill patternType="solid">
        <fgColor rgb="FFFFFFFF"/>
        <bgColor rgb="FFFDF6EC"/>
      </patternFill>
    </fill>
    <fill>
      <patternFill patternType="solid">
        <fgColor rgb="FFFDF6EC"/>
        <bgColor rgb="FFF4F6F7"/>
      </patternFill>
    </fill>
    <fill>
      <patternFill patternType="solid">
        <fgColor rgb="FF1A6B3C"/>
        <bgColor rgb="FF008080"/>
      </patternFill>
    </fill>
    <fill>
      <patternFill patternType="solid">
        <fgColor rgb="FFC75A00"/>
        <bgColor rgb="FF922B21"/>
      </patternFill>
    </fill>
    <fill>
      <patternFill patternType="solid">
        <fgColor rgb="FFE8A020"/>
        <bgColor rgb="FFFFCC00"/>
      </patternFill>
    </fill>
    <fill>
      <patternFill patternType="solid">
        <fgColor rgb="FF922B21"/>
        <bgColor rgb="FF99336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8" borderId="0" xfId="0" applyFill="1" applyBorder="1"/>
    <xf numFmtId="0" fontId="0" fillId="7" borderId="0" xfId="0" applyFill="1" applyBorder="1"/>
    <xf numFmtId="0" fontId="0" fillId="6" borderId="0" xfId="0" applyFill="1" applyBorder="1"/>
    <xf numFmtId="0" fontId="0" fillId="2" borderId="0" xfId="0" applyFill="1" applyBorder="1"/>
    <xf numFmtId="165" fontId="5" fillId="8" borderId="0" xfId="0" applyNumberFormat="1" applyFont="1" applyFill="1" applyBorder="1" applyAlignment="1">
      <alignment horizontal="center" vertical="center"/>
    </xf>
    <xf numFmtId="2" fontId="5" fillId="7" borderId="0" xfId="0" applyNumberFormat="1" applyFont="1" applyFill="1" applyBorder="1" applyAlignment="1">
      <alignment horizontal="center" vertical="center"/>
    </xf>
    <xf numFmtId="164" fontId="5" fillId="6" borderId="0" xfId="0" applyNumberFormat="1" applyFont="1" applyFill="1" applyBorder="1" applyAlignment="1">
      <alignment horizontal="center" vertical="center"/>
    </xf>
    <xf numFmtId="164" fontId="5" fillId="2" borderId="0" xfId="0" applyNumberFormat="1" applyFont="1" applyFill="1" applyBorder="1" applyAlignment="1">
      <alignment horizontal="center" vertical="center"/>
    </xf>
    <xf numFmtId="0" fontId="1" fillId="8" borderId="0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0" fontId="6" fillId="7" borderId="0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center" vertical="center"/>
    </xf>
    <xf numFmtId="0" fontId="6" fillId="8" borderId="0" xfId="0" applyFont="1" applyFill="1" applyBorder="1" applyAlignment="1">
      <alignment horizontal="center" vertical="center"/>
    </xf>
    <xf numFmtId="0" fontId="6" fillId="9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3C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DF6EC"/>
      <rgbColor rgb="FFF4F6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8A020"/>
      <rgbColor rgb="FFC75A00"/>
      <rgbColor rgb="FF666699"/>
      <rgbColor rgb="FF969696"/>
      <rgbColor rgb="FF003366"/>
      <rgbColor rgb="FF339966"/>
      <rgbColor rgb="FF003300"/>
      <rgbColor rgb="FF4A2500"/>
      <rgbColor rgb="FF922B21"/>
      <rgbColor rgb="FF993366"/>
      <rgbColor rgb="FF33339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1"/>
  <sheetViews>
    <sheetView rightToLeft="1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5" customWidth="1"/>
    <col min="2" max="4" width="12" customWidth="1"/>
    <col min="5" max="5" width="18" customWidth="1"/>
    <col min="6" max="6" width="16" customWidth="1"/>
    <col min="7" max="7" width="18" customWidth="1"/>
    <col min="8" max="8" width="14" customWidth="1"/>
    <col min="9" max="9" width="18" customWidth="1"/>
    <col min="10" max="12" width="20" customWidth="1"/>
    <col min="13" max="14" width="14" customWidth="1"/>
  </cols>
  <sheetData>
    <row r="1" spans="1:14" ht="36" customHeight="1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</row>
    <row r="2" spans="1:14" x14ac:dyDescent="0.25">
      <c r="A2" s="16">
        <v>1</v>
      </c>
      <c r="B2" s="16" t="s">
        <v>14</v>
      </c>
      <c r="C2" s="16" t="s">
        <v>15</v>
      </c>
      <c r="D2" s="16" t="s">
        <v>16</v>
      </c>
      <c r="E2" s="16" t="s">
        <v>17</v>
      </c>
      <c r="F2" s="16" t="s">
        <v>18</v>
      </c>
      <c r="G2" s="16" t="s">
        <v>19</v>
      </c>
      <c r="H2" s="16">
        <v>34</v>
      </c>
      <c r="I2" s="17">
        <v>25</v>
      </c>
      <c r="J2" s="17">
        <f t="shared" ref="J2:J65" si="0">H2*I2</f>
        <v>850</v>
      </c>
      <c r="K2" s="17">
        <f>J2*0.478</f>
        <v>406.3</v>
      </c>
      <c r="L2" s="17">
        <f t="shared" ref="L2:L65" si="1">J2-K2</f>
        <v>443.7</v>
      </c>
      <c r="M2" s="18">
        <f t="shared" ref="M2:M65" si="2">IF(J2=0,0,L2/J2)</f>
        <v>0.52200000000000002</v>
      </c>
      <c r="N2" s="16">
        <v>4.7</v>
      </c>
    </row>
    <row r="3" spans="1:14" x14ac:dyDescent="0.25">
      <c r="A3" s="19">
        <v>2</v>
      </c>
      <c r="B3" s="19" t="s">
        <v>14</v>
      </c>
      <c r="C3" s="19" t="s">
        <v>20</v>
      </c>
      <c r="D3" s="19" t="s">
        <v>16</v>
      </c>
      <c r="E3" s="19" t="s">
        <v>21</v>
      </c>
      <c r="F3" s="19" t="s">
        <v>22</v>
      </c>
      <c r="G3" s="19" t="s">
        <v>23</v>
      </c>
      <c r="H3" s="19">
        <v>73</v>
      </c>
      <c r="I3" s="20">
        <v>25</v>
      </c>
      <c r="J3" s="20">
        <f t="shared" si="0"/>
        <v>1825</v>
      </c>
      <c r="K3" s="20">
        <f>J3*0.356</f>
        <v>649.69999999999993</v>
      </c>
      <c r="L3" s="20">
        <f t="shared" si="1"/>
        <v>1175.3000000000002</v>
      </c>
      <c r="M3" s="21">
        <f t="shared" si="2"/>
        <v>0.64400000000000013</v>
      </c>
      <c r="N3" s="19">
        <v>4.4000000000000004</v>
      </c>
    </row>
    <row r="4" spans="1:14" x14ac:dyDescent="0.25">
      <c r="A4" s="16">
        <v>3</v>
      </c>
      <c r="B4" s="16" t="s">
        <v>14</v>
      </c>
      <c r="C4" s="16" t="s">
        <v>20</v>
      </c>
      <c r="D4" s="16" t="s">
        <v>16</v>
      </c>
      <c r="E4" s="16" t="s">
        <v>21</v>
      </c>
      <c r="F4" s="16" t="s">
        <v>24</v>
      </c>
      <c r="G4" s="16" t="s">
        <v>25</v>
      </c>
      <c r="H4" s="16">
        <v>40</v>
      </c>
      <c r="I4" s="17">
        <v>30</v>
      </c>
      <c r="J4" s="17">
        <f t="shared" si="0"/>
        <v>1200</v>
      </c>
      <c r="K4" s="17">
        <f>J4*0.509</f>
        <v>610.79999999999995</v>
      </c>
      <c r="L4" s="17">
        <f t="shared" si="1"/>
        <v>589.20000000000005</v>
      </c>
      <c r="M4" s="18">
        <f t="shared" si="2"/>
        <v>0.49100000000000005</v>
      </c>
      <c r="N4" s="16">
        <v>2.7</v>
      </c>
    </row>
    <row r="5" spans="1:14" x14ac:dyDescent="0.25">
      <c r="A5" s="19">
        <v>4</v>
      </c>
      <c r="B5" s="19" t="s">
        <v>14</v>
      </c>
      <c r="C5" s="19" t="s">
        <v>20</v>
      </c>
      <c r="D5" s="19" t="s">
        <v>26</v>
      </c>
      <c r="E5" s="19" t="s">
        <v>17</v>
      </c>
      <c r="F5" s="19" t="s">
        <v>27</v>
      </c>
      <c r="G5" s="19" t="s">
        <v>28</v>
      </c>
      <c r="H5" s="19">
        <v>22</v>
      </c>
      <c r="I5" s="20">
        <v>45</v>
      </c>
      <c r="J5" s="20">
        <f t="shared" si="0"/>
        <v>990</v>
      </c>
      <c r="K5" s="20">
        <f>J5*0.397</f>
        <v>393.03000000000003</v>
      </c>
      <c r="L5" s="20">
        <f t="shared" si="1"/>
        <v>596.97</v>
      </c>
      <c r="M5" s="21">
        <f t="shared" si="2"/>
        <v>0.60299999999999998</v>
      </c>
      <c r="N5" s="19">
        <v>3.4</v>
      </c>
    </row>
    <row r="6" spans="1:14" x14ac:dyDescent="0.25">
      <c r="A6" s="16">
        <v>5</v>
      </c>
      <c r="B6" s="16" t="s">
        <v>14</v>
      </c>
      <c r="C6" s="16" t="s">
        <v>29</v>
      </c>
      <c r="D6" s="16" t="s">
        <v>30</v>
      </c>
      <c r="E6" s="16" t="s">
        <v>31</v>
      </c>
      <c r="F6" s="16" t="s">
        <v>24</v>
      </c>
      <c r="G6" s="16" t="s">
        <v>32</v>
      </c>
      <c r="H6" s="16">
        <v>51</v>
      </c>
      <c r="I6" s="17">
        <v>35</v>
      </c>
      <c r="J6" s="17">
        <f t="shared" si="0"/>
        <v>1785</v>
      </c>
      <c r="K6" s="17">
        <f>J6*0.373</f>
        <v>665.80499999999995</v>
      </c>
      <c r="L6" s="17">
        <f t="shared" si="1"/>
        <v>1119.1950000000002</v>
      </c>
      <c r="M6" s="18">
        <f t="shared" si="2"/>
        <v>0.62700000000000011</v>
      </c>
      <c r="N6" s="16">
        <v>3.3</v>
      </c>
    </row>
    <row r="7" spans="1:14" x14ac:dyDescent="0.25">
      <c r="A7" s="19">
        <v>6</v>
      </c>
      <c r="B7" s="19" t="s">
        <v>14</v>
      </c>
      <c r="C7" s="19" t="s">
        <v>33</v>
      </c>
      <c r="D7" s="19" t="s">
        <v>30</v>
      </c>
      <c r="E7" s="19" t="s">
        <v>31</v>
      </c>
      <c r="F7" s="19" t="s">
        <v>18</v>
      </c>
      <c r="G7" s="19" t="s">
        <v>34</v>
      </c>
      <c r="H7" s="19">
        <v>75</v>
      </c>
      <c r="I7" s="20">
        <v>55</v>
      </c>
      <c r="J7" s="20">
        <f t="shared" si="0"/>
        <v>4125</v>
      </c>
      <c r="K7" s="20">
        <f>J7*0.438</f>
        <v>1806.75</v>
      </c>
      <c r="L7" s="20">
        <f t="shared" si="1"/>
        <v>2318.25</v>
      </c>
      <c r="M7" s="21">
        <f t="shared" si="2"/>
        <v>0.56200000000000006</v>
      </c>
      <c r="N7" s="19">
        <v>5</v>
      </c>
    </row>
    <row r="8" spans="1:14" x14ac:dyDescent="0.25">
      <c r="A8" s="16">
        <v>7</v>
      </c>
      <c r="B8" s="16" t="s">
        <v>14</v>
      </c>
      <c r="C8" s="16" t="s">
        <v>35</v>
      </c>
      <c r="D8" s="16" t="s">
        <v>16</v>
      </c>
      <c r="E8" s="16" t="s">
        <v>36</v>
      </c>
      <c r="F8" s="16" t="s">
        <v>24</v>
      </c>
      <c r="G8" s="16" t="s">
        <v>37</v>
      </c>
      <c r="H8" s="16">
        <v>42</v>
      </c>
      <c r="I8" s="17">
        <v>30</v>
      </c>
      <c r="J8" s="17">
        <f t="shared" si="0"/>
        <v>1260</v>
      </c>
      <c r="K8" s="17">
        <f>J8*0.401</f>
        <v>505.26000000000005</v>
      </c>
      <c r="L8" s="17">
        <f t="shared" si="1"/>
        <v>754.74</v>
      </c>
      <c r="M8" s="18">
        <f t="shared" si="2"/>
        <v>0.59899999999999998</v>
      </c>
      <c r="N8" s="16">
        <v>3.8</v>
      </c>
    </row>
    <row r="9" spans="1:14" x14ac:dyDescent="0.25">
      <c r="A9" s="19">
        <v>8</v>
      </c>
      <c r="B9" s="19" t="s">
        <v>14</v>
      </c>
      <c r="C9" s="19" t="s">
        <v>35</v>
      </c>
      <c r="D9" s="19" t="s">
        <v>30</v>
      </c>
      <c r="E9" s="19" t="s">
        <v>36</v>
      </c>
      <c r="F9" s="19" t="s">
        <v>18</v>
      </c>
      <c r="G9" s="19" t="s">
        <v>38</v>
      </c>
      <c r="H9" s="19">
        <v>55</v>
      </c>
      <c r="I9" s="20">
        <v>45</v>
      </c>
      <c r="J9" s="20">
        <f t="shared" si="0"/>
        <v>2475</v>
      </c>
      <c r="K9" s="20">
        <f>J9*0.397</f>
        <v>982.57500000000005</v>
      </c>
      <c r="L9" s="20">
        <f t="shared" si="1"/>
        <v>1492.425</v>
      </c>
      <c r="M9" s="21">
        <f t="shared" si="2"/>
        <v>0.60299999999999998</v>
      </c>
      <c r="N9" s="19">
        <v>3.7</v>
      </c>
    </row>
    <row r="10" spans="1:14" x14ac:dyDescent="0.25">
      <c r="A10" s="16">
        <v>9</v>
      </c>
      <c r="B10" s="16" t="s">
        <v>14</v>
      </c>
      <c r="C10" s="16" t="s">
        <v>39</v>
      </c>
      <c r="D10" s="16" t="s">
        <v>26</v>
      </c>
      <c r="E10" s="16" t="s">
        <v>21</v>
      </c>
      <c r="F10" s="16" t="s">
        <v>22</v>
      </c>
      <c r="G10" s="16" t="s">
        <v>40</v>
      </c>
      <c r="H10" s="16">
        <v>21</v>
      </c>
      <c r="I10" s="17">
        <v>30</v>
      </c>
      <c r="J10" s="17">
        <f t="shared" si="0"/>
        <v>630</v>
      </c>
      <c r="K10" s="17">
        <f>J10*0.541</f>
        <v>340.83000000000004</v>
      </c>
      <c r="L10" s="17">
        <f t="shared" si="1"/>
        <v>289.16999999999996</v>
      </c>
      <c r="M10" s="18">
        <f t="shared" si="2"/>
        <v>0.45899999999999991</v>
      </c>
      <c r="N10" s="16">
        <v>4.0999999999999996</v>
      </c>
    </row>
    <row r="11" spans="1:14" x14ac:dyDescent="0.25">
      <c r="A11" s="19">
        <v>10</v>
      </c>
      <c r="B11" s="19" t="s">
        <v>14</v>
      </c>
      <c r="C11" s="19" t="s">
        <v>35</v>
      </c>
      <c r="D11" s="19" t="s">
        <v>16</v>
      </c>
      <c r="E11" s="19" t="s">
        <v>36</v>
      </c>
      <c r="F11" s="19" t="s">
        <v>41</v>
      </c>
      <c r="G11" s="19" t="s">
        <v>42</v>
      </c>
      <c r="H11" s="19">
        <v>10</v>
      </c>
      <c r="I11" s="20">
        <v>95</v>
      </c>
      <c r="J11" s="20">
        <f t="shared" si="0"/>
        <v>950</v>
      </c>
      <c r="K11" s="20">
        <f>J11*0.49</f>
        <v>465.5</v>
      </c>
      <c r="L11" s="20">
        <f t="shared" si="1"/>
        <v>484.5</v>
      </c>
      <c r="M11" s="21">
        <f t="shared" si="2"/>
        <v>0.51</v>
      </c>
      <c r="N11" s="19">
        <v>3.7</v>
      </c>
    </row>
    <row r="12" spans="1:14" x14ac:dyDescent="0.25">
      <c r="A12" s="16">
        <v>11</v>
      </c>
      <c r="B12" s="16" t="s">
        <v>14</v>
      </c>
      <c r="C12" s="16" t="s">
        <v>15</v>
      </c>
      <c r="D12" s="16" t="s">
        <v>26</v>
      </c>
      <c r="E12" s="16" t="s">
        <v>36</v>
      </c>
      <c r="F12" s="16" t="s">
        <v>18</v>
      </c>
      <c r="G12" s="16" t="s">
        <v>19</v>
      </c>
      <c r="H12" s="16">
        <v>57</v>
      </c>
      <c r="I12" s="17">
        <v>25</v>
      </c>
      <c r="J12" s="17">
        <f t="shared" si="0"/>
        <v>1425</v>
      </c>
      <c r="K12" s="17">
        <f>J12*0.511</f>
        <v>728.17500000000007</v>
      </c>
      <c r="L12" s="17">
        <f t="shared" si="1"/>
        <v>696.82499999999993</v>
      </c>
      <c r="M12" s="18">
        <f t="shared" si="2"/>
        <v>0.48899999999999993</v>
      </c>
      <c r="N12" s="16">
        <v>4.7</v>
      </c>
    </row>
    <row r="13" spans="1:14" x14ac:dyDescent="0.25">
      <c r="A13" s="19">
        <v>12</v>
      </c>
      <c r="B13" s="19" t="s">
        <v>14</v>
      </c>
      <c r="C13" s="19" t="s">
        <v>15</v>
      </c>
      <c r="D13" s="19" t="s">
        <v>26</v>
      </c>
      <c r="E13" s="19" t="s">
        <v>21</v>
      </c>
      <c r="F13" s="19" t="s">
        <v>18</v>
      </c>
      <c r="G13" s="19" t="s">
        <v>19</v>
      </c>
      <c r="H13" s="19">
        <v>35</v>
      </c>
      <c r="I13" s="20">
        <v>25</v>
      </c>
      <c r="J13" s="20">
        <f t="shared" si="0"/>
        <v>875</v>
      </c>
      <c r="K13" s="20">
        <f>J13*0.473</f>
        <v>413.875</v>
      </c>
      <c r="L13" s="20">
        <f t="shared" si="1"/>
        <v>461.125</v>
      </c>
      <c r="M13" s="21">
        <f t="shared" si="2"/>
        <v>0.52700000000000002</v>
      </c>
      <c r="N13" s="19">
        <v>3</v>
      </c>
    </row>
    <row r="14" spans="1:14" x14ac:dyDescent="0.25">
      <c r="A14" s="16">
        <v>13</v>
      </c>
      <c r="B14" s="16" t="s">
        <v>14</v>
      </c>
      <c r="C14" s="16" t="s">
        <v>33</v>
      </c>
      <c r="D14" s="16" t="s">
        <v>30</v>
      </c>
      <c r="E14" s="16" t="s">
        <v>31</v>
      </c>
      <c r="F14" s="16" t="s">
        <v>24</v>
      </c>
      <c r="G14" s="16" t="s">
        <v>25</v>
      </c>
      <c r="H14" s="16">
        <v>50</v>
      </c>
      <c r="I14" s="17">
        <v>30</v>
      </c>
      <c r="J14" s="17">
        <f t="shared" si="0"/>
        <v>1500</v>
      </c>
      <c r="K14" s="17">
        <f>J14*0.386</f>
        <v>579</v>
      </c>
      <c r="L14" s="17">
        <f t="shared" si="1"/>
        <v>921</v>
      </c>
      <c r="M14" s="18">
        <f t="shared" si="2"/>
        <v>0.61399999999999999</v>
      </c>
      <c r="N14" s="16">
        <v>3.9</v>
      </c>
    </row>
    <row r="15" spans="1:14" x14ac:dyDescent="0.25">
      <c r="A15" s="19">
        <v>14</v>
      </c>
      <c r="B15" s="19" t="s">
        <v>14</v>
      </c>
      <c r="C15" s="19" t="s">
        <v>35</v>
      </c>
      <c r="D15" s="19" t="s">
        <v>16</v>
      </c>
      <c r="E15" s="19" t="s">
        <v>21</v>
      </c>
      <c r="F15" s="19" t="s">
        <v>22</v>
      </c>
      <c r="G15" s="19" t="s">
        <v>23</v>
      </c>
      <c r="H15" s="19">
        <v>33</v>
      </c>
      <c r="I15" s="20">
        <v>25</v>
      </c>
      <c r="J15" s="20">
        <f t="shared" si="0"/>
        <v>825</v>
      </c>
      <c r="K15" s="20">
        <f>J15*0.469</f>
        <v>386.92499999999995</v>
      </c>
      <c r="L15" s="20">
        <f t="shared" si="1"/>
        <v>438.07500000000005</v>
      </c>
      <c r="M15" s="21">
        <f t="shared" si="2"/>
        <v>0.53100000000000003</v>
      </c>
      <c r="N15" s="19">
        <v>3.6</v>
      </c>
    </row>
    <row r="16" spans="1:14" x14ac:dyDescent="0.25">
      <c r="A16" s="16">
        <v>15</v>
      </c>
      <c r="B16" s="16" t="s">
        <v>14</v>
      </c>
      <c r="C16" s="16" t="s">
        <v>15</v>
      </c>
      <c r="D16" s="16" t="s">
        <v>16</v>
      </c>
      <c r="E16" s="16" t="s">
        <v>31</v>
      </c>
      <c r="F16" s="16" t="s">
        <v>41</v>
      </c>
      <c r="G16" s="16" t="s">
        <v>42</v>
      </c>
      <c r="H16" s="16">
        <v>48</v>
      </c>
      <c r="I16" s="17">
        <v>95</v>
      </c>
      <c r="J16" s="17">
        <f t="shared" si="0"/>
        <v>4560</v>
      </c>
      <c r="K16" s="17">
        <f>J16*0.375</f>
        <v>1710</v>
      </c>
      <c r="L16" s="17">
        <f t="shared" si="1"/>
        <v>2850</v>
      </c>
      <c r="M16" s="18">
        <f t="shared" si="2"/>
        <v>0.625</v>
      </c>
      <c r="N16" s="16">
        <v>3.8</v>
      </c>
    </row>
    <row r="17" spans="1:14" x14ac:dyDescent="0.25">
      <c r="A17" s="19">
        <v>16</v>
      </c>
      <c r="B17" s="19" t="s">
        <v>14</v>
      </c>
      <c r="C17" s="19" t="s">
        <v>43</v>
      </c>
      <c r="D17" s="19" t="s">
        <v>30</v>
      </c>
      <c r="E17" s="19" t="s">
        <v>17</v>
      </c>
      <c r="F17" s="19" t="s">
        <v>41</v>
      </c>
      <c r="G17" s="19" t="s">
        <v>42</v>
      </c>
      <c r="H17" s="19">
        <v>43</v>
      </c>
      <c r="I17" s="20">
        <v>95</v>
      </c>
      <c r="J17" s="20">
        <f t="shared" si="0"/>
        <v>4085</v>
      </c>
      <c r="K17" s="20">
        <f>J17*0.365</f>
        <v>1491.0249999999999</v>
      </c>
      <c r="L17" s="20">
        <f t="shared" si="1"/>
        <v>2593.9750000000004</v>
      </c>
      <c r="M17" s="21">
        <f t="shared" si="2"/>
        <v>0.63500000000000012</v>
      </c>
      <c r="N17" s="19">
        <v>4</v>
      </c>
    </row>
    <row r="18" spans="1:14" x14ac:dyDescent="0.25">
      <c r="A18" s="16">
        <v>17</v>
      </c>
      <c r="B18" s="16" t="s">
        <v>14</v>
      </c>
      <c r="C18" s="16" t="s">
        <v>39</v>
      </c>
      <c r="D18" s="16" t="s">
        <v>26</v>
      </c>
      <c r="E18" s="16" t="s">
        <v>36</v>
      </c>
      <c r="F18" s="16" t="s">
        <v>24</v>
      </c>
      <c r="G18" s="16" t="s">
        <v>44</v>
      </c>
      <c r="H18" s="16">
        <v>9</v>
      </c>
      <c r="I18" s="17">
        <v>50</v>
      </c>
      <c r="J18" s="17">
        <f t="shared" si="0"/>
        <v>450</v>
      </c>
      <c r="K18" s="17">
        <f>J18*0.449</f>
        <v>202.05</v>
      </c>
      <c r="L18" s="17">
        <f t="shared" si="1"/>
        <v>247.95</v>
      </c>
      <c r="M18" s="18">
        <f t="shared" si="2"/>
        <v>0.55099999999999993</v>
      </c>
      <c r="N18" s="16">
        <v>3.3</v>
      </c>
    </row>
    <row r="19" spans="1:14" x14ac:dyDescent="0.25">
      <c r="A19" s="19">
        <v>18</v>
      </c>
      <c r="B19" s="19" t="s">
        <v>14</v>
      </c>
      <c r="C19" s="19" t="s">
        <v>15</v>
      </c>
      <c r="D19" s="19" t="s">
        <v>16</v>
      </c>
      <c r="E19" s="19" t="s">
        <v>31</v>
      </c>
      <c r="F19" s="19" t="s">
        <v>24</v>
      </c>
      <c r="G19" s="19" t="s">
        <v>32</v>
      </c>
      <c r="H19" s="19">
        <v>33</v>
      </c>
      <c r="I19" s="20">
        <v>35</v>
      </c>
      <c r="J19" s="20">
        <f t="shared" si="0"/>
        <v>1155</v>
      </c>
      <c r="K19" s="20">
        <f>J19*0.356</f>
        <v>411.18</v>
      </c>
      <c r="L19" s="20">
        <f t="shared" si="1"/>
        <v>743.81999999999994</v>
      </c>
      <c r="M19" s="21">
        <f t="shared" si="2"/>
        <v>0.64399999999999991</v>
      </c>
      <c r="N19" s="19">
        <v>3.2</v>
      </c>
    </row>
    <row r="20" spans="1:14" x14ac:dyDescent="0.25">
      <c r="A20" s="16">
        <v>19</v>
      </c>
      <c r="B20" s="16" t="s">
        <v>14</v>
      </c>
      <c r="C20" s="16" t="s">
        <v>29</v>
      </c>
      <c r="D20" s="16" t="s">
        <v>30</v>
      </c>
      <c r="E20" s="16" t="s">
        <v>31</v>
      </c>
      <c r="F20" s="16" t="s">
        <v>22</v>
      </c>
      <c r="G20" s="16" t="s">
        <v>45</v>
      </c>
      <c r="H20" s="16">
        <v>38</v>
      </c>
      <c r="I20" s="17">
        <v>20</v>
      </c>
      <c r="J20" s="17">
        <f t="shared" si="0"/>
        <v>760</v>
      </c>
      <c r="K20" s="17">
        <f>J20*0.393</f>
        <v>298.68</v>
      </c>
      <c r="L20" s="17">
        <f t="shared" si="1"/>
        <v>461.32</v>
      </c>
      <c r="M20" s="18">
        <f t="shared" si="2"/>
        <v>0.60699999999999998</v>
      </c>
      <c r="N20" s="16">
        <v>4.5999999999999996</v>
      </c>
    </row>
    <row r="21" spans="1:14" x14ac:dyDescent="0.25">
      <c r="A21" s="19">
        <v>20</v>
      </c>
      <c r="B21" s="19" t="s">
        <v>14</v>
      </c>
      <c r="C21" s="19" t="s">
        <v>20</v>
      </c>
      <c r="D21" s="19" t="s">
        <v>16</v>
      </c>
      <c r="E21" s="19" t="s">
        <v>36</v>
      </c>
      <c r="F21" s="19" t="s">
        <v>24</v>
      </c>
      <c r="G21" s="19" t="s">
        <v>37</v>
      </c>
      <c r="H21" s="19">
        <v>50</v>
      </c>
      <c r="I21" s="20">
        <v>30</v>
      </c>
      <c r="J21" s="20">
        <f t="shared" si="0"/>
        <v>1500</v>
      </c>
      <c r="K21" s="20">
        <f>J21*0.436</f>
        <v>654</v>
      </c>
      <c r="L21" s="20">
        <f t="shared" si="1"/>
        <v>846</v>
      </c>
      <c r="M21" s="21">
        <f t="shared" si="2"/>
        <v>0.56399999999999995</v>
      </c>
      <c r="N21" s="19">
        <v>4</v>
      </c>
    </row>
    <row r="22" spans="1:14" x14ac:dyDescent="0.25">
      <c r="A22" s="16">
        <v>21</v>
      </c>
      <c r="B22" s="16" t="s">
        <v>46</v>
      </c>
      <c r="C22" s="16" t="s">
        <v>29</v>
      </c>
      <c r="D22" s="16" t="s">
        <v>26</v>
      </c>
      <c r="E22" s="16" t="s">
        <v>17</v>
      </c>
      <c r="F22" s="16" t="s">
        <v>27</v>
      </c>
      <c r="G22" s="16" t="s">
        <v>47</v>
      </c>
      <c r="H22" s="16">
        <v>45</v>
      </c>
      <c r="I22" s="17">
        <v>70</v>
      </c>
      <c r="J22" s="17">
        <f t="shared" si="0"/>
        <v>3150</v>
      </c>
      <c r="K22" s="17">
        <f>J22*0.502</f>
        <v>1581.3</v>
      </c>
      <c r="L22" s="17">
        <f t="shared" si="1"/>
        <v>1568.7</v>
      </c>
      <c r="M22" s="18">
        <f t="shared" si="2"/>
        <v>0.498</v>
      </c>
      <c r="N22" s="16">
        <v>2.7</v>
      </c>
    </row>
    <row r="23" spans="1:14" x14ac:dyDescent="0.25">
      <c r="A23" s="19">
        <v>22</v>
      </c>
      <c r="B23" s="19" t="s">
        <v>46</v>
      </c>
      <c r="C23" s="19" t="s">
        <v>29</v>
      </c>
      <c r="D23" s="19" t="s">
        <v>26</v>
      </c>
      <c r="E23" s="19" t="s">
        <v>31</v>
      </c>
      <c r="F23" s="19" t="s">
        <v>41</v>
      </c>
      <c r="G23" s="19" t="s">
        <v>48</v>
      </c>
      <c r="H23" s="19">
        <v>29</v>
      </c>
      <c r="I23" s="20">
        <v>130</v>
      </c>
      <c r="J23" s="20">
        <f t="shared" si="0"/>
        <v>3770</v>
      </c>
      <c r="K23" s="20">
        <f>J23*0.428</f>
        <v>1613.56</v>
      </c>
      <c r="L23" s="20">
        <f t="shared" si="1"/>
        <v>2156.44</v>
      </c>
      <c r="M23" s="21">
        <f t="shared" si="2"/>
        <v>0.57200000000000006</v>
      </c>
      <c r="N23" s="19">
        <v>5</v>
      </c>
    </row>
    <row r="24" spans="1:14" x14ac:dyDescent="0.25">
      <c r="A24" s="16">
        <v>23</v>
      </c>
      <c r="B24" s="16" t="s">
        <v>46</v>
      </c>
      <c r="C24" s="16" t="s">
        <v>35</v>
      </c>
      <c r="D24" s="16" t="s">
        <v>16</v>
      </c>
      <c r="E24" s="16" t="s">
        <v>49</v>
      </c>
      <c r="F24" s="16" t="s">
        <v>18</v>
      </c>
      <c r="G24" s="16" t="s">
        <v>34</v>
      </c>
      <c r="H24" s="16">
        <v>22</v>
      </c>
      <c r="I24" s="17">
        <v>55</v>
      </c>
      <c r="J24" s="17">
        <f t="shared" si="0"/>
        <v>1210</v>
      </c>
      <c r="K24" s="17">
        <f>J24*0.515</f>
        <v>623.15</v>
      </c>
      <c r="L24" s="17">
        <f t="shared" si="1"/>
        <v>586.85</v>
      </c>
      <c r="M24" s="18">
        <f t="shared" si="2"/>
        <v>0.48500000000000004</v>
      </c>
      <c r="N24" s="16">
        <v>2.8</v>
      </c>
    </row>
    <row r="25" spans="1:14" x14ac:dyDescent="0.25">
      <c r="A25" s="19">
        <v>24</v>
      </c>
      <c r="B25" s="19" t="s">
        <v>46</v>
      </c>
      <c r="C25" s="19" t="s">
        <v>43</v>
      </c>
      <c r="D25" s="19" t="s">
        <v>16</v>
      </c>
      <c r="E25" s="19" t="s">
        <v>21</v>
      </c>
      <c r="F25" s="19" t="s">
        <v>18</v>
      </c>
      <c r="G25" s="19" t="s">
        <v>38</v>
      </c>
      <c r="H25" s="19">
        <v>54</v>
      </c>
      <c r="I25" s="20">
        <v>45</v>
      </c>
      <c r="J25" s="20">
        <f t="shared" si="0"/>
        <v>2430</v>
      </c>
      <c r="K25" s="20">
        <f>J25*0.37</f>
        <v>899.1</v>
      </c>
      <c r="L25" s="20">
        <f t="shared" si="1"/>
        <v>1530.9</v>
      </c>
      <c r="M25" s="21">
        <f t="shared" si="2"/>
        <v>0.63</v>
      </c>
      <c r="N25" s="19">
        <v>3.4</v>
      </c>
    </row>
    <row r="26" spans="1:14" x14ac:dyDescent="0.25">
      <c r="A26" s="16">
        <v>25</v>
      </c>
      <c r="B26" s="16" t="s">
        <v>46</v>
      </c>
      <c r="C26" s="16" t="s">
        <v>43</v>
      </c>
      <c r="D26" s="16" t="s">
        <v>30</v>
      </c>
      <c r="E26" s="16" t="s">
        <v>36</v>
      </c>
      <c r="F26" s="16" t="s">
        <v>27</v>
      </c>
      <c r="G26" s="16" t="s">
        <v>28</v>
      </c>
      <c r="H26" s="16">
        <v>10</v>
      </c>
      <c r="I26" s="17">
        <v>45</v>
      </c>
      <c r="J26" s="17">
        <f t="shared" si="0"/>
        <v>450</v>
      </c>
      <c r="K26" s="17">
        <f>J26*0.544</f>
        <v>244.8</v>
      </c>
      <c r="L26" s="17">
        <f t="shared" si="1"/>
        <v>205.2</v>
      </c>
      <c r="M26" s="18">
        <f t="shared" si="2"/>
        <v>0.45599999999999996</v>
      </c>
      <c r="N26" s="16">
        <v>3.2</v>
      </c>
    </row>
    <row r="27" spans="1:14" x14ac:dyDescent="0.25">
      <c r="A27" s="19">
        <v>26</v>
      </c>
      <c r="B27" s="19" t="s">
        <v>46</v>
      </c>
      <c r="C27" s="19" t="s">
        <v>15</v>
      </c>
      <c r="D27" s="19" t="s">
        <v>16</v>
      </c>
      <c r="E27" s="19" t="s">
        <v>49</v>
      </c>
      <c r="F27" s="19" t="s">
        <v>18</v>
      </c>
      <c r="G27" s="19" t="s">
        <v>19</v>
      </c>
      <c r="H27" s="19">
        <v>74</v>
      </c>
      <c r="I27" s="20">
        <v>25</v>
      </c>
      <c r="J27" s="20">
        <f t="shared" si="0"/>
        <v>1850</v>
      </c>
      <c r="K27" s="20">
        <f>J27*0.529</f>
        <v>978.65000000000009</v>
      </c>
      <c r="L27" s="20">
        <f t="shared" si="1"/>
        <v>871.34999999999991</v>
      </c>
      <c r="M27" s="21">
        <f t="shared" si="2"/>
        <v>0.47099999999999997</v>
      </c>
      <c r="N27" s="19">
        <v>4.8</v>
      </c>
    </row>
    <row r="28" spans="1:14" x14ac:dyDescent="0.25">
      <c r="A28" s="16">
        <v>27</v>
      </c>
      <c r="B28" s="16" t="s">
        <v>46</v>
      </c>
      <c r="C28" s="16" t="s">
        <v>39</v>
      </c>
      <c r="D28" s="16" t="s">
        <v>26</v>
      </c>
      <c r="E28" s="16" t="s">
        <v>21</v>
      </c>
      <c r="F28" s="16" t="s">
        <v>41</v>
      </c>
      <c r="G28" s="16" t="s">
        <v>42</v>
      </c>
      <c r="H28" s="16">
        <v>52</v>
      </c>
      <c r="I28" s="17">
        <v>95</v>
      </c>
      <c r="J28" s="17">
        <f t="shared" si="0"/>
        <v>4940</v>
      </c>
      <c r="K28" s="17">
        <f>J28*0.514</f>
        <v>2539.16</v>
      </c>
      <c r="L28" s="17">
        <f t="shared" si="1"/>
        <v>2400.84</v>
      </c>
      <c r="M28" s="18">
        <f t="shared" si="2"/>
        <v>0.48600000000000004</v>
      </c>
      <c r="N28" s="16">
        <v>3.2</v>
      </c>
    </row>
    <row r="29" spans="1:14" x14ac:dyDescent="0.25">
      <c r="A29" s="19">
        <v>28</v>
      </c>
      <c r="B29" s="19" t="s">
        <v>46</v>
      </c>
      <c r="C29" s="19" t="s">
        <v>20</v>
      </c>
      <c r="D29" s="19" t="s">
        <v>26</v>
      </c>
      <c r="E29" s="19" t="s">
        <v>49</v>
      </c>
      <c r="F29" s="19" t="s">
        <v>22</v>
      </c>
      <c r="G29" s="19" t="s">
        <v>45</v>
      </c>
      <c r="H29" s="19">
        <v>71</v>
      </c>
      <c r="I29" s="20">
        <v>20</v>
      </c>
      <c r="J29" s="20">
        <f t="shared" si="0"/>
        <v>1420</v>
      </c>
      <c r="K29" s="20">
        <f>J29*0.429</f>
        <v>609.17999999999995</v>
      </c>
      <c r="L29" s="20">
        <f t="shared" si="1"/>
        <v>810.82</v>
      </c>
      <c r="M29" s="21">
        <f t="shared" si="2"/>
        <v>0.57100000000000006</v>
      </c>
      <c r="N29" s="19">
        <v>3</v>
      </c>
    </row>
    <row r="30" spans="1:14" x14ac:dyDescent="0.25">
      <c r="A30" s="16">
        <v>29</v>
      </c>
      <c r="B30" s="16" t="s">
        <v>46</v>
      </c>
      <c r="C30" s="16" t="s">
        <v>33</v>
      </c>
      <c r="D30" s="16" t="s">
        <v>16</v>
      </c>
      <c r="E30" s="16" t="s">
        <v>49</v>
      </c>
      <c r="F30" s="16" t="s">
        <v>24</v>
      </c>
      <c r="G30" s="16" t="s">
        <v>25</v>
      </c>
      <c r="H30" s="16">
        <v>19</v>
      </c>
      <c r="I30" s="17">
        <v>30</v>
      </c>
      <c r="J30" s="17">
        <f t="shared" si="0"/>
        <v>570</v>
      </c>
      <c r="K30" s="17">
        <f>J30*0.502</f>
        <v>286.14</v>
      </c>
      <c r="L30" s="17">
        <f t="shared" si="1"/>
        <v>283.86</v>
      </c>
      <c r="M30" s="18">
        <f t="shared" si="2"/>
        <v>0.498</v>
      </c>
      <c r="N30" s="16">
        <v>4.9000000000000004</v>
      </c>
    </row>
    <row r="31" spans="1:14" x14ac:dyDescent="0.25">
      <c r="A31" s="19">
        <v>30</v>
      </c>
      <c r="B31" s="19" t="s">
        <v>46</v>
      </c>
      <c r="C31" s="19" t="s">
        <v>35</v>
      </c>
      <c r="D31" s="19" t="s">
        <v>30</v>
      </c>
      <c r="E31" s="19" t="s">
        <v>17</v>
      </c>
      <c r="F31" s="19" t="s">
        <v>24</v>
      </c>
      <c r="G31" s="19" t="s">
        <v>32</v>
      </c>
      <c r="H31" s="19">
        <v>43</v>
      </c>
      <c r="I31" s="20">
        <v>35</v>
      </c>
      <c r="J31" s="20">
        <f t="shared" si="0"/>
        <v>1505</v>
      </c>
      <c r="K31" s="20">
        <f>J31*0.367</f>
        <v>552.33500000000004</v>
      </c>
      <c r="L31" s="20">
        <f t="shared" si="1"/>
        <v>952.66499999999996</v>
      </c>
      <c r="M31" s="21">
        <f t="shared" si="2"/>
        <v>0.63300000000000001</v>
      </c>
      <c r="N31" s="19">
        <v>3.2</v>
      </c>
    </row>
    <row r="32" spans="1:14" x14ac:dyDescent="0.25">
      <c r="A32" s="16">
        <v>31</v>
      </c>
      <c r="B32" s="16" t="s">
        <v>46</v>
      </c>
      <c r="C32" s="16" t="s">
        <v>39</v>
      </c>
      <c r="D32" s="16" t="s">
        <v>30</v>
      </c>
      <c r="E32" s="16" t="s">
        <v>49</v>
      </c>
      <c r="F32" s="16" t="s">
        <v>41</v>
      </c>
      <c r="G32" s="16" t="s">
        <v>50</v>
      </c>
      <c r="H32" s="16">
        <v>6</v>
      </c>
      <c r="I32" s="17">
        <v>110</v>
      </c>
      <c r="J32" s="17">
        <f t="shared" si="0"/>
        <v>660</v>
      </c>
      <c r="K32" s="17">
        <f>J32*0.523</f>
        <v>345.18</v>
      </c>
      <c r="L32" s="17">
        <f t="shared" si="1"/>
        <v>314.82</v>
      </c>
      <c r="M32" s="18">
        <f t="shared" si="2"/>
        <v>0.47699999999999998</v>
      </c>
      <c r="N32" s="16">
        <v>4.3</v>
      </c>
    </row>
    <row r="33" spans="1:14" x14ac:dyDescent="0.25">
      <c r="A33" s="19">
        <v>32</v>
      </c>
      <c r="B33" s="19" t="s">
        <v>46</v>
      </c>
      <c r="C33" s="19" t="s">
        <v>20</v>
      </c>
      <c r="D33" s="19" t="s">
        <v>16</v>
      </c>
      <c r="E33" s="19" t="s">
        <v>17</v>
      </c>
      <c r="F33" s="19" t="s">
        <v>27</v>
      </c>
      <c r="G33" s="19" t="s">
        <v>51</v>
      </c>
      <c r="H33" s="19">
        <v>42</v>
      </c>
      <c r="I33" s="20">
        <v>55</v>
      </c>
      <c r="J33" s="20">
        <f t="shared" si="0"/>
        <v>2310</v>
      </c>
      <c r="K33" s="20">
        <f>J33*0.412</f>
        <v>951.71999999999991</v>
      </c>
      <c r="L33" s="20">
        <f t="shared" si="1"/>
        <v>1358.2800000000002</v>
      </c>
      <c r="M33" s="21">
        <f t="shared" si="2"/>
        <v>0.58800000000000008</v>
      </c>
      <c r="N33" s="19">
        <v>2.8</v>
      </c>
    </row>
    <row r="34" spans="1:14" x14ac:dyDescent="0.25">
      <c r="A34" s="16">
        <v>33</v>
      </c>
      <c r="B34" s="16" t="s">
        <v>46</v>
      </c>
      <c r="C34" s="16" t="s">
        <v>35</v>
      </c>
      <c r="D34" s="16" t="s">
        <v>16</v>
      </c>
      <c r="E34" s="16" t="s">
        <v>36</v>
      </c>
      <c r="F34" s="16" t="s">
        <v>27</v>
      </c>
      <c r="G34" s="16" t="s">
        <v>28</v>
      </c>
      <c r="H34" s="16">
        <v>39</v>
      </c>
      <c r="I34" s="17">
        <v>45</v>
      </c>
      <c r="J34" s="17">
        <f t="shared" si="0"/>
        <v>1755</v>
      </c>
      <c r="K34" s="17">
        <f>J34*0.351</f>
        <v>616.005</v>
      </c>
      <c r="L34" s="17">
        <f t="shared" si="1"/>
        <v>1138.9949999999999</v>
      </c>
      <c r="M34" s="18">
        <f t="shared" si="2"/>
        <v>0.64899999999999991</v>
      </c>
      <c r="N34" s="16">
        <v>3.6</v>
      </c>
    </row>
    <row r="35" spans="1:14" x14ac:dyDescent="0.25">
      <c r="A35" s="19">
        <v>34</v>
      </c>
      <c r="B35" s="19" t="s">
        <v>46</v>
      </c>
      <c r="C35" s="19" t="s">
        <v>43</v>
      </c>
      <c r="D35" s="19" t="s">
        <v>16</v>
      </c>
      <c r="E35" s="19" t="s">
        <v>49</v>
      </c>
      <c r="F35" s="19" t="s">
        <v>24</v>
      </c>
      <c r="G35" s="19" t="s">
        <v>44</v>
      </c>
      <c r="H35" s="19">
        <v>40</v>
      </c>
      <c r="I35" s="20">
        <v>50</v>
      </c>
      <c r="J35" s="20">
        <f t="shared" si="0"/>
        <v>2000</v>
      </c>
      <c r="K35" s="20">
        <f>J35*0.399</f>
        <v>798</v>
      </c>
      <c r="L35" s="20">
        <f t="shared" si="1"/>
        <v>1202</v>
      </c>
      <c r="M35" s="21">
        <f t="shared" si="2"/>
        <v>0.60099999999999998</v>
      </c>
      <c r="N35" s="19">
        <v>4.8</v>
      </c>
    </row>
    <row r="36" spans="1:14" x14ac:dyDescent="0.25">
      <c r="A36" s="16">
        <v>35</v>
      </c>
      <c r="B36" s="16" t="s">
        <v>46</v>
      </c>
      <c r="C36" s="16" t="s">
        <v>29</v>
      </c>
      <c r="D36" s="16" t="s">
        <v>26</v>
      </c>
      <c r="E36" s="16" t="s">
        <v>17</v>
      </c>
      <c r="F36" s="16" t="s">
        <v>27</v>
      </c>
      <c r="G36" s="16" t="s">
        <v>51</v>
      </c>
      <c r="H36" s="16">
        <v>66</v>
      </c>
      <c r="I36" s="17">
        <v>55</v>
      </c>
      <c r="J36" s="17">
        <f t="shared" si="0"/>
        <v>3630</v>
      </c>
      <c r="K36" s="17">
        <f>J36*0.466</f>
        <v>1691.5800000000002</v>
      </c>
      <c r="L36" s="17">
        <f t="shared" si="1"/>
        <v>1938.4199999999998</v>
      </c>
      <c r="M36" s="18">
        <f t="shared" si="2"/>
        <v>0.53399999999999992</v>
      </c>
      <c r="N36" s="16">
        <v>2.9</v>
      </c>
    </row>
    <row r="37" spans="1:14" x14ac:dyDescent="0.25">
      <c r="A37" s="19">
        <v>36</v>
      </c>
      <c r="B37" s="19" t="s">
        <v>46</v>
      </c>
      <c r="C37" s="19" t="s">
        <v>15</v>
      </c>
      <c r="D37" s="19" t="s">
        <v>26</v>
      </c>
      <c r="E37" s="19" t="s">
        <v>31</v>
      </c>
      <c r="F37" s="19" t="s">
        <v>27</v>
      </c>
      <c r="G37" s="19" t="s">
        <v>51</v>
      </c>
      <c r="H37" s="19">
        <v>53</v>
      </c>
      <c r="I37" s="20">
        <v>55</v>
      </c>
      <c r="J37" s="20">
        <f t="shared" si="0"/>
        <v>2915</v>
      </c>
      <c r="K37" s="20">
        <f>J37*0.356</f>
        <v>1037.74</v>
      </c>
      <c r="L37" s="20">
        <f t="shared" si="1"/>
        <v>1877.26</v>
      </c>
      <c r="M37" s="21">
        <f t="shared" si="2"/>
        <v>0.64400000000000002</v>
      </c>
      <c r="N37" s="19">
        <v>4.5999999999999996</v>
      </c>
    </row>
    <row r="38" spans="1:14" x14ac:dyDescent="0.25">
      <c r="A38" s="16">
        <v>37</v>
      </c>
      <c r="B38" s="16" t="s">
        <v>46</v>
      </c>
      <c r="C38" s="16" t="s">
        <v>39</v>
      </c>
      <c r="D38" s="16" t="s">
        <v>16</v>
      </c>
      <c r="E38" s="16" t="s">
        <v>49</v>
      </c>
      <c r="F38" s="16" t="s">
        <v>27</v>
      </c>
      <c r="G38" s="16" t="s">
        <v>51</v>
      </c>
      <c r="H38" s="16">
        <v>21</v>
      </c>
      <c r="I38" s="17">
        <v>55</v>
      </c>
      <c r="J38" s="17">
        <f t="shared" si="0"/>
        <v>1155</v>
      </c>
      <c r="K38" s="17">
        <f>J38*0.411</f>
        <v>474.70499999999998</v>
      </c>
      <c r="L38" s="17">
        <f t="shared" si="1"/>
        <v>680.29500000000007</v>
      </c>
      <c r="M38" s="18">
        <f t="shared" si="2"/>
        <v>0.58900000000000008</v>
      </c>
      <c r="N38" s="16">
        <v>4</v>
      </c>
    </row>
    <row r="39" spans="1:14" x14ac:dyDescent="0.25">
      <c r="A39" s="19">
        <v>38</v>
      </c>
      <c r="B39" s="19" t="s">
        <v>46</v>
      </c>
      <c r="C39" s="19" t="s">
        <v>15</v>
      </c>
      <c r="D39" s="19" t="s">
        <v>30</v>
      </c>
      <c r="E39" s="19" t="s">
        <v>36</v>
      </c>
      <c r="F39" s="19" t="s">
        <v>24</v>
      </c>
      <c r="G39" s="19" t="s">
        <v>25</v>
      </c>
      <c r="H39" s="19">
        <v>32</v>
      </c>
      <c r="I39" s="20">
        <v>30</v>
      </c>
      <c r="J39" s="20">
        <f t="shared" si="0"/>
        <v>960</v>
      </c>
      <c r="K39" s="20">
        <f>J39*0.488</f>
        <v>468.48</v>
      </c>
      <c r="L39" s="20">
        <f t="shared" si="1"/>
        <v>491.52</v>
      </c>
      <c r="M39" s="21">
        <f t="shared" si="2"/>
        <v>0.51200000000000001</v>
      </c>
      <c r="N39" s="19">
        <v>4.8</v>
      </c>
    </row>
    <row r="40" spans="1:14" x14ac:dyDescent="0.25">
      <c r="A40" s="16">
        <v>39</v>
      </c>
      <c r="B40" s="16" t="s">
        <v>46</v>
      </c>
      <c r="C40" s="16" t="s">
        <v>43</v>
      </c>
      <c r="D40" s="16" t="s">
        <v>30</v>
      </c>
      <c r="E40" s="16" t="s">
        <v>49</v>
      </c>
      <c r="F40" s="16" t="s">
        <v>24</v>
      </c>
      <c r="G40" s="16" t="s">
        <v>25</v>
      </c>
      <c r="H40" s="16">
        <v>23</v>
      </c>
      <c r="I40" s="17">
        <v>30</v>
      </c>
      <c r="J40" s="17">
        <f t="shared" si="0"/>
        <v>690</v>
      </c>
      <c r="K40" s="17">
        <f>J40*0.361</f>
        <v>249.09</v>
      </c>
      <c r="L40" s="17">
        <f t="shared" si="1"/>
        <v>440.90999999999997</v>
      </c>
      <c r="M40" s="18">
        <f t="shared" si="2"/>
        <v>0.6389999999999999</v>
      </c>
      <c r="N40" s="16">
        <v>2.9</v>
      </c>
    </row>
    <row r="41" spans="1:14" x14ac:dyDescent="0.25">
      <c r="A41" s="19">
        <v>40</v>
      </c>
      <c r="B41" s="19" t="s">
        <v>46</v>
      </c>
      <c r="C41" s="19" t="s">
        <v>29</v>
      </c>
      <c r="D41" s="19" t="s">
        <v>16</v>
      </c>
      <c r="E41" s="19" t="s">
        <v>31</v>
      </c>
      <c r="F41" s="19" t="s">
        <v>27</v>
      </c>
      <c r="G41" s="19" t="s">
        <v>52</v>
      </c>
      <c r="H41" s="19">
        <v>33</v>
      </c>
      <c r="I41" s="20">
        <v>35</v>
      </c>
      <c r="J41" s="20">
        <f t="shared" si="0"/>
        <v>1155</v>
      </c>
      <c r="K41" s="20">
        <f>J41*0.399</f>
        <v>460.84500000000003</v>
      </c>
      <c r="L41" s="20">
        <f t="shared" si="1"/>
        <v>694.15499999999997</v>
      </c>
      <c r="M41" s="21">
        <f t="shared" si="2"/>
        <v>0.60099999999999998</v>
      </c>
      <c r="N41" s="19">
        <v>4</v>
      </c>
    </row>
    <row r="42" spans="1:14" x14ac:dyDescent="0.25">
      <c r="A42" s="16">
        <v>41</v>
      </c>
      <c r="B42" s="16" t="s">
        <v>53</v>
      </c>
      <c r="C42" s="16" t="s">
        <v>29</v>
      </c>
      <c r="D42" s="16" t="s">
        <v>26</v>
      </c>
      <c r="E42" s="16" t="s">
        <v>31</v>
      </c>
      <c r="F42" s="16" t="s">
        <v>24</v>
      </c>
      <c r="G42" s="16" t="s">
        <v>25</v>
      </c>
      <c r="H42" s="16">
        <v>78</v>
      </c>
      <c r="I42" s="17">
        <v>30</v>
      </c>
      <c r="J42" s="17">
        <f t="shared" si="0"/>
        <v>2340</v>
      </c>
      <c r="K42" s="17">
        <f>J42*0.472</f>
        <v>1104.48</v>
      </c>
      <c r="L42" s="17">
        <f t="shared" si="1"/>
        <v>1235.52</v>
      </c>
      <c r="M42" s="18">
        <f t="shared" si="2"/>
        <v>0.52800000000000002</v>
      </c>
      <c r="N42" s="16">
        <v>4.0999999999999996</v>
      </c>
    </row>
    <row r="43" spans="1:14" x14ac:dyDescent="0.25">
      <c r="A43" s="19">
        <v>42</v>
      </c>
      <c r="B43" s="19" t="s">
        <v>53</v>
      </c>
      <c r="C43" s="19" t="s">
        <v>15</v>
      </c>
      <c r="D43" s="19" t="s">
        <v>16</v>
      </c>
      <c r="E43" s="19" t="s">
        <v>31</v>
      </c>
      <c r="F43" s="19" t="s">
        <v>27</v>
      </c>
      <c r="G43" s="19" t="s">
        <v>51</v>
      </c>
      <c r="H43" s="19">
        <v>70</v>
      </c>
      <c r="I43" s="20">
        <v>55</v>
      </c>
      <c r="J43" s="20">
        <f t="shared" si="0"/>
        <v>3850</v>
      </c>
      <c r="K43" s="20">
        <f>J43*0.533</f>
        <v>2052.0500000000002</v>
      </c>
      <c r="L43" s="20">
        <f t="shared" si="1"/>
        <v>1797.9499999999998</v>
      </c>
      <c r="M43" s="21">
        <f t="shared" si="2"/>
        <v>0.46699999999999997</v>
      </c>
      <c r="N43" s="19">
        <v>2.8</v>
      </c>
    </row>
    <row r="44" spans="1:14" x14ac:dyDescent="0.25">
      <c r="A44" s="16">
        <v>43</v>
      </c>
      <c r="B44" s="16" t="s">
        <v>53</v>
      </c>
      <c r="C44" s="16" t="s">
        <v>15</v>
      </c>
      <c r="D44" s="16" t="s">
        <v>16</v>
      </c>
      <c r="E44" s="16" t="s">
        <v>36</v>
      </c>
      <c r="F44" s="16" t="s">
        <v>18</v>
      </c>
      <c r="G44" s="16" t="s">
        <v>19</v>
      </c>
      <c r="H44" s="16">
        <v>49</v>
      </c>
      <c r="I44" s="17">
        <v>25</v>
      </c>
      <c r="J44" s="17">
        <f t="shared" si="0"/>
        <v>1225</v>
      </c>
      <c r="K44" s="17">
        <f>J44*0.468</f>
        <v>573.30000000000007</v>
      </c>
      <c r="L44" s="17">
        <f t="shared" si="1"/>
        <v>651.69999999999993</v>
      </c>
      <c r="M44" s="18">
        <f t="shared" si="2"/>
        <v>0.53199999999999992</v>
      </c>
      <c r="N44" s="16">
        <v>4.2</v>
      </c>
    </row>
    <row r="45" spans="1:14" x14ac:dyDescent="0.25">
      <c r="A45" s="19">
        <v>44</v>
      </c>
      <c r="B45" s="19" t="s">
        <v>53</v>
      </c>
      <c r="C45" s="19" t="s">
        <v>33</v>
      </c>
      <c r="D45" s="19" t="s">
        <v>16</v>
      </c>
      <c r="E45" s="19" t="s">
        <v>17</v>
      </c>
      <c r="F45" s="19" t="s">
        <v>22</v>
      </c>
      <c r="G45" s="19" t="s">
        <v>45</v>
      </c>
      <c r="H45" s="19">
        <v>27</v>
      </c>
      <c r="I45" s="20">
        <v>20</v>
      </c>
      <c r="J45" s="20">
        <f t="shared" si="0"/>
        <v>540</v>
      </c>
      <c r="K45" s="20">
        <f>J45*0.478</f>
        <v>258.12</v>
      </c>
      <c r="L45" s="20">
        <f t="shared" si="1"/>
        <v>281.88</v>
      </c>
      <c r="M45" s="21">
        <f t="shared" si="2"/>
        <v>0.52200000000000002</v>
      </c>
      <c r="N45" s="19">
        <v>2.6</v>
      </c>
    </row>
    <row r="46" spans="1:14" x14ac:dyDescent="0.25">
      <c r="A46" s="16">
        <v>45</v>
      </c>
      <c r="B46" s="16" t="s">
        <v>53</v>
      </c>
      <c r="C46" s="16" t="s">
        <v>43</v>
      </c>
      <c r="D46" s="16" t="s">
        <v>26</v>
      </c>
      <c r="E46" s="16" t="s">
        <v>31</v>
      </c>
      <c r="F46" s="16" t="s">
        <v>24</v>
      </c>
      <c r="G46" s="16" t="s">
        <v>25</v>
      </c>
      <c r="H46" s="16">
        <v>64</v>
      </c>
      <c r="I46" s="17">
        <v>30</v>
      </c>
      <c r="J46" s="17">
        <f t="shared" si="0"/>
        <v>1920</v>
      </c>
      <c r="K46" s="17">
        <f>J46*0.464</f>
        <v>890.88</v>
      </c>
      <c r="L46" s="17">
        <f t="shared" si="1"/>
        <v>1029.1199999999999</v>
      </c>
      <c r="M46" s="18">
        <f t="shared" si="2"/>
        <v>0.53599999999999992</v>
      </c>
      <c r="N46" s="16">
        <v>3.9</v>
      </c>
    </row>
    <row r="47" spans="1:14" x14ac:dyDescent="0.25">
      <c r="A47" s="19">
        <v>46</v>
      </c>
      <c r="B47" s="19" t="s">
        <v>53</v>
      </c>
      <c r="C47" s="19" t="s">
        <v>20</v>
      </c>
      <c r="D47" s="19" t="s">
        <v>26</v>
      </c>
      <c r="E47" s="19" t="s">
        <v>31</v>
      </c>
      <c r="F47" s="19" t="s">
        <v>24</v>
      </c>
      <c r="G47" s="19" t="s">
        <v>32</v>
      </c>
      <c r="H47" s="19">
        <v>13</v>
      </c>
      <c r="I47" s="20">
        <v>35</v>
      </c>
      <c r="J47" s="20">
        <f t="shared" si="0"/>
        <v>455</v>
      </c>
      <c r="K47" s="20">
        <f>J47*0.406</f>
        <v>184.73000000000002</v>
      </c>
      <c r="L47" s="20">
        <f t="shared" si="1"/>
        <v>270.27</v>
      </c>
      <c r="M47" s="21">
        <f t="shared" si="2"/>
        <v>0.59399999999999997</v>
      </c>
      <c r="N47" s="19">
        <v>3.8</v>
      </c>
    </row>
    <row r="48" spans="1:14" x14ac:dyDescent="0.25">
      <c r="A48" s="16">
        <v>47</v>
      </c>
      <c r="B48" s="16" t="s">
        <v>53</v>
      </c>
      <c r="C48" s="16" t="s">
        <v>29</v>
      </c>
      <c r="D48" s="16" t="s">
        <v>30</v>
      </c>
      <c r="E48" s="16" t="s">
        <v>36</v>
      </c>
      <c r="F48" s="16" t="s">
        <v>41</v>
      </c>
      <c r="G48" s="16" t="s">
        <v>50</v>
      </c>
      <c r="H48" s="16">
        <v>46</v>
      </c>
      <c r="I48" s="17">
        <v>110</v>
      </c>
      <c r="J48" s="17">
        <f t="shared" si="0"/>
        <v>5060</v>
      </c>
      <c r="K48" s="17">
        <f>J48*0.446</f>
        <v>2256.7600000000002</v>
      </c>
      <c r="L48" s="17">
        <f t="shared" si="1"/>
        <v>2803.24</v>
      </c>
      <c r="M48" s="18">
        <f t="shared" si="2"/>
        <v>0.55399999999999994</v>
      </c>
      <c r="N48" s="16">
        <v>2.7</v>
      </c>
    </row>
    <row r="49" spans="1:14" x14ac:dyDescent="0.25">
      <c r="A49" s="19">
        <v>48</v>
      </c>
      <c r="B49" s="19" t="s">
        <v>53</v>
      </c>
      <c r="C49" s="19" t="s">
        <v>29</v>
      </c>
      <c r="D49" s="19" t="s">
        <v>26</v>
      </c>
      <c r="E49" s="19" t="s">
        <v>36</v>
      </c>
      <c r="F49" s="19" t="s">
        <v>18</v>
      </c>
      <c r="G49" s="19" t="s">
        <v>54</v>
      </c>
      <c r="H49" s="19">
        <v>62</v>
      </c>
      <c r="I49" s="20">
        <v>40</v>
      </c>
      <c r="J49" s="20">
        <f t="shared" si="0"/>
        <v>2480</v>
      </c>
      <c r="K49" s="20">
        <f>J49*0.529</f>
        <v>1311.92</v>
      </c>
      <c r="L49" s="20">
        <f t="shared" si="1"/>
        <v>1168.08</v>
      </c>
      <c r="M49" s="21">
        <f t="shared" si="2"/>
        <v>0.47099999999999997</v>
      </c>
      <c r="N49" s="19">
        <v>3.7</v>
      </c>
    </row>
    <row r="50" spans="1:14" x14ac:dyDescent="0.25">
      <c r="A50" s="16">
        <v>49</v>
      </c>
      <c r="B50" s="16" t="s">
        <v>53</v>
      </c>
      <c r="C50" s="16" t="s">
        <v>39</v>
      </c>
      <c r="D50" s="16" t="s">
        <v>16</v>
      </c>
      <c r="E50" s="16" t="s">
        <v>49</v>
      </c>
      <c r="F50" s="16" t="s">
        <v>41</v>
      </c>
      <c r="G50" s="16" t="s">
        <v>48</v>
      </c>
      <c r="H50" s="16">
        <v>32</v>
      </c>
      <c r="I50" s="17">
        <v>130</v>
      </c>
      <c r="J50" s="17">
        <f t="shared" si="0"/>
        <v>4160</v>
      </c>
      <c r="K50" s="17">
        <f>J50*0.548</f>
        <v>2279.6800000000003</v>
      </c>
      <c r="L50" s="17">
        <f t="shared" si="1"/>
        <v>1880.3199999999997</v>
      </c>
      <c r="M50" s="18">
        <f t="shared" si="2"/>
        <v>0.45199999999999996</v>
      </c>
      <c r="N50" s="16">
        <v>3.8</v>
      </c>
    </row>
    <row r="51" spans="1:14" x14ac:dyDescent="0.25">
      <c r="A51" s="19">
        <v>50</v>
      </c>
      <c r="B51" s="19" t="s">
        <v>53</v>
      </c>
      <c r="C51" s="19" t="s">
        <v>43</v>
      </c>
      <c r="D51" s="19" t="s">
        <v>16</v>
      </c>
      <c r="E51" s="19" t="s">
        <v>31</v>
      </c>
      <c r="F51" s="19" t="s">
        <v>22</v>
      </c>
      <c r="G51" s="19" t="s">
        <v>55</v>
      </c>
      <c r="H51" s="19">
        <v>76</v>
      </c>
      <c r="I51" s="20">
        <v>35</v>
      </c>
      <c r="J51" s="20">
        <f t="shared" si="0"/>
        <v>2660</v>
      </c>
      <c r="K51" s="20">
        <f>J51*0.545</f>
        <v>1449.7</v>
      </c>
      <c r="L51" s="20">
        <f t="shared" si="1"/>
        <v>1210.3</v>
      </c>
      <c r="M51" s="21">
        <f t="shared" si="2"/>
        <v>0.45499999999999996</v>
      </c>
      <c r="N51" s="19">
        <v>3</v>
      </c>
    </row>
    <row r="52" spans="1:14" x14ac:dyDescent="0.25">
      <c r="A52" s="16">
        <v>51</v>
      </c>
      <c r="B52" s="16" t="s">
        <v>53</v>
      </c>
      <c r="C52" s="16" t="s">
        <v>33</v>
      </c>
      <c r="D52" s="16" t="s">
        <v>26</v>
      </c>
      <c r="E52" s="16" t="s">
        <v>49</v>
      </c>
      <c r="F52" s="16" t="s">
        <v>41</v>
      </c>
      <c r="G52" s="16" t="s">
        <v>50</v>
      </c>
      <c r="H52" s="16">
        <v>13</v>
      </c>
      <c r="I52" s="17">
        <v>110</v>
      </c>
      <c r="J52" s="17">
        <f t="shared" si="0"/>
        <v>1430</v>
      </c>
      <c r="K52" s="17">
        <f>J52*0.413</f>
        <v>590.58999999999992</v>
      </c>
      <c r="L52" s="17">
        <f t="shared" si="1"/>
        <v>839.41000000000008</v>
      </c>
      <c r="M52" s="18">
        <f t="shared" si="2"/>
        <v>0.58700000000000008</v>
      </c>
      <c r="N52" s="16">
        <v>4.0999999999999996</v>
      </c>
    </row>
    <row r="53" spans="1:14" x14ac:dyDescent="0.25">
      <c r="A53" s="19">
        <v>52</v>
      </c>
      <c r="B53" s="19" t="s">
        <v>53</v>
      </c>
      <c r="C53" s="19" t="s">
        <v>39</v>
      </c>
      <c r="D53" s="19" t="s">
        <v>16</v>
      </c>
      <c r="E53" s="19" t="s">
        <v>49</v>
      </c>
      <c r="F53" s="19" t="s">
        <v>22</v>
      </c>
      <c r="G53" s="19" t="s">
        <v>45</v>
      </c>
      <c r="H53" s="19">
        <v>11</v>
      </c>
      <c r="I53" s="20">
        <v>20</v>
      </c>
      <c r="J53" s="20">
        <f t="shared" si="0"/>
        <v>220</v>
      </c>
      <c r="K53" s="20">
        <f>J53*0.547</f>
        <v>120.34</v>
      </c>
      <c r="L53" s="20">
        <f t="shared" si="1"/>
        <v>99.66</v>
      </c>
      <c r="M53" s="21">
        <f t="shared" si="2"/>
        <v>0.45299999999999996</v>
      </c>
      <c r="N53" s="19">
        <v>3.6</v>
      </c>
    </row>
    <row r="54" spans="1:14" x14ac:dyDescent="0.25">
      <c r="A54" s="16">
        <v>53</v>
      </c>
      <c r="B54" s="16" t="s">
        <v>53</v>
      </c>
      <c r="C54" s="16" t="s">
        <v>20</v>
      </c>
      <c r="D54" s="16" t="s">
        <v>30</v>
      </c>
      <c r="E54" s="16" t="s">
        <v>21</v>
      </c>
      <c r="F54" s="16" t="s">
        <v>27</v>
      </c>
      <c r="G54" s="16" t="s">
        <v>47</v>
      </c>
      <c r="H54" s="16">
        <v>67</v>
      </c>
      <c r="I54" s="17">
        <v>70</v>
      </c>
      <c r="J54" s="17">
        <f t="shared" si="0"/>
        <v>4690</v>
      </c>
      <c r="K54" s="17">
        <f>J54*0.361</f>
        <v>1693.09</v>
      </c>
      <c r="L54" s="17">
        <f t="shared" si="1"/>
        <v>2996.91</v>
      </c>
      <c r="M54" s="18">
        <f t="shared" si="2"/>
        <v>0.63900000000000001</v>
      </c>
      <c r="N54" s="16">
        <v>2.9</v>
      </c>
    </row>
    <row r="55" spans="1:14" x14ac:dyDescent="0.25">
      <c r="A55" s="19">
        <v>54</v>
      </c>
      <c r="B55" s="19" t="s">
        <v>53</v>
      </c>
      <c r="C55" s="19" t="s">
        <v>15</v>
      </c>
      <c r="D55" s="19" t="s">
        <v>26</v>
      </c>
      <c r="E55" s="19" t="s">
        <v>31</v>
      </c>
      <c r="F55" s="19" t="s">
        <v>41</v>
      </c>
      <c r="G55" s="19" t="s">
        <v>50</v>
      </c>
      <c r="H55" s="19">
        <v>16</v>
      </c>
      <c r="I55" s="20">
        <v>110</v>
      </c>
      <c r="J55" s="20">
        <f t="shared" si="0"/>
        <v>1760</v>
      </c>
      <c r="K55" s="20">
        <f>J55*0.409</f>
        <v>719.83999999999992</v>
      </c>
      <c r="L55" s="20">
        <f t="shared" si="1"/>
        <v>1040.1600000000001</v>
      </c>
      <c r="M55" s="21">
        <f t="shared" si="2"/>
        <v>0.59100000000000008</v>
      </c>
      <c r="N55" s="19">
        <v>3.3</v>
      </c>
    </row>
    <row r="56" spans="1:14" x14ac:dyDescent="0.25">
      <c r="A56" s="16">
        <v>55</v>
      </c>
      <c r="B56" s="16" t="s">
        <v>53</v>
      </c>
      <c r="C56" s="16" t="s">
        <v>43</v>
      </c>
      <c r="D56" s="16" t="s">
        <v>30</v>
      </c>
      <c r="E56" s="16" t="s">
        <v>17</v>
      </c>
      <c r="F56" s="16" t="s">
        <v>18</v>
      </c>
      <c r="G56" s="16" t="s">
        <v>34</v>
      </c>
      <c r="H56" s="16">
        <v>41</v>
      </c>
      <c r="I56" s="17">
        <v>55</v>
      </c>
      <c r="J56" s="17">
        <f t="shared" si="0"/>
        <v>2255</v>
      </c>
      <c r="K56" s="17">
        <f>J56*0.369</f>
        <v>832.09500000000003</v>
      </c>
      <c r="L56" s="17">
        <f t="shared" si="1"/>
        <v>1422.905</v>
      </c>
      <c r="M56" s="18">
        <f t="shared" si="2"/>
        <v>0.63100000000000001</v>
      </c>
      <c r="N56" s="16">
        <v>4.3</v>
      </c>
    </row>
    <row r="57" spans="1:14" x14ac:dyDescent="0.25">
      <c r="A57" s="19">
        <v>56</v>
      </c>
      <c r="B57" s="19" t="s">
        <v>53</v>
      </c>
      <c r="C57" s="19" t="s">
        <v>20</v>
      </c>
      <c r="D57" s="19" t="s">
        <v>26</v>
      </c>
      <c r="E57" s="19" t="s">
        <v>49</v>
      </c>
      <c r="F57" s="19" t="s">
        <v>22</v>
      </c>
      <c r="G57" s="19" t="s">
        <v>23</v>
      </c>
      <c r="H57" s="19">
        <v>20</v>
      </c>
      <c r="I57" s="20">
        <v>25</v>
      </c>
      <c r="J57" s="20">
        <f t="shared" si="0"/>
        <v>500</v>
      </c>
      <c r="K57" s="20">
        <f>J57*0.549</f>
        <v>274.5</v>
      </c>
      <c r="L57" s="20">
        <f t="shared" si="1"/>
        <v>225.5</v>
      </c>
      <c r="M57" s="21">
        <f t="shared" si="2"/>
        <v>0.45100000000000001</v>
      </c>
      <c r="N57" s="19">
        <v>2.9</v>
      </c>
    </row>
    <row r="58" spans="1:14" x14ac:dyDescent="0.25">
      <c r="A58" s="16">
        <v>57</v>
      </c>
      <c r="B58" s="16" t="s">
        <v>53</v>
      </c>
      <c r="C58" s="16" t="s">
        <v>29</v>
      </c>
      <c r="D58" s="16" t="s">
        <v>26</v>
      </c>
      <c r="E58" s="16" t="s">
        <v>31</v>
      </c>
      <c r="F58" s="16" t="s">
        <v>18</v>
      </c>
      <c r="G58" s="16" t="s">
        <v>54</v>
      </c>
      <c r="H58" s="16">
        <v>18</v>
      </c>
      <c r="I58" s="17">
        <v>40</v>
      </c>
      <c r="J58" s="17">
        <f t="shared" si="0"/>
        <v>720</v>
      </c>
      <c r="K58" s="17">
        <f>J58*0.359</f>
        <v>258.48</v>
      </c>
      <c r="L58" s="17">
        <f t="shared" si="1"/>
        <v>461.52</v>
      </c>
      <c r="M58" s="18">
        <f t="shared" si="2"/>
        <v>0.64100000000000001</v>
      </c>
      <c r="N58" s="16">
        <v>4</v>
      </c>
    </row>
    <row r="59" spans="1:14" x14ac:dyDescent="0.25">
      <c r="A59" s="19">
        <v>58</v>
      </c>
      <c r="B59" s="19" t="s">
        <v>53</v>
      </c>
      <c r="C59" s="19" t="s">
        <v>15</v>
      </c>
      <c r="D59" s="19" t="s">
        <v>26</v>
      </c>
      <c r="E59" s="19" t="s">
        <v>31</v>
      </c>
      <c r="F59" s="19" t="s">
        <v>24</v>
      </c>
      <c r="G59" s="19" t="s">
        <v>32</v>
      </c>
      <c r="H59" s="19">
        <v>22</v>
      </c>
      <c r="I59" s="20">
        <v>35</v>
      </c>
      <c r="J59" s="20">
        <f t="shared" si="0"/>
        <v>770</v>
      </c>
      <c r="K59" s="20">
        <f>J59*0.416</f>
        <v>320.32</v>
      </c>
      <c r="L59" s="20">
        <f t="shared" si="1"/>
        <v>449.68</v>
      </c>
      <c r="M59" s="21">
        <f t="shared" si="2"/>
        <v>0.58399999999999996</v>
      </c>
      <c r="N59" s="19">
        <v>3.1</v>
      </c>
    </row>
    <row r="60" spans="1:14" x14ac:dyDescent="0.25">
      <c r="A60" s="16">
        <v>59</v>
      </c>
      <c r="B60" s="16" t="s">
        <v>53</v>
      </c>
      <c r="C60" s="16" t="s">
        <v>39</v>
      </c>
      <c r="D60" s="16" t="s">
        <v>30</v>
      </c>
      <c r="E60" s="16" t="s">
        <v>17</v>
      </c>
      <c r="F60" s="16" t="s">
        <v>41</v>
      </c>
      <c r="G60" s="16" t="s">
        <v>56</v>
      </c>
      <c r="H60" s="16">
        <v>67</v>
      </c>
      <c r="I60" s="17">
        <v>85</v>
      </c>
      <c r="J60" s="17">
        <f t="shared" si="0"/>
        <v>5695</v>
      </c>
      <c r="K60" s="17">
        <f>J60*0.51</f>
        <v>2904.4500000000003</v>
      </c>
      <c r="L60" s="17">
        <f t="shared" si="1"/>
        <v>2790.5499999999997</v>
      </c>
      <c r="M60" s="18">
        <f t="shared" si="2"/>
        <v>0.48999999999999994</v>
      </c>
      <c r="N60" s="16">
        <v>2.8</v>
      </c>
    </row>
    <row r="61" spans="1:14" x14ac:dyDescent="0.25">
      <c r="A61" s="19">
        <v>60</v>
      </c>
      <c r="B61" s="19" t="s">
        <v>53</v>
      </c>
      <c r="C61" s="19" t="s">
        <v>35</v>
      </c>
      <c r="D61" s="19" t="s">
        <v>30</v>
      </c>
      <c r="E61" s="19" t="s">
        <v>17</v>
      </c>
      <c r="F61" s="19" t="s">
        <v>27</v>
      </c>
      <c r="G61" s="19" t="s">
        <v>47</v>
      </c>
      <c r="H61" s="19">
        <v>58</v>
      </c>
      <c r="I61" s="20">
        <v>70</v>
      </c>
      <c r="J61" s="20">
        <f t="shared" si="0"/>
        <v>4060</v>
      </c>
      <c r="K61" s="20">
        <f>J61*0.454</f>
        <v>1843.24</v>
      </c>
      <c r="L61" s="20">
        <f t="shared" si="1"/>
        <v>2216.7600000000002</v>
      </c>
      <c r="M61" s="21">
        <f t="shared" si="2"/>
        <v>0.54600000000000004</v>
      </c>
      <c r="N61" s="19">
        <v>2.5</v>
      </c>
    </row>
    <row r="62" spans="1:14" x14ac:dyDescent="0.25">
      <c r="A62" s="16">
        <v>61</v>
      </c>
      <c r="B62" s="16" t="s">
        <v>57</v>
      </c>
      <c r="C62" s="16" t="s">
        <v>29</v>
      </c>
      <c r="D62" s="16" t="s">
        <v>16</v>
      </c>
      <c r="E62" s="16" t="s">
        <v>21</v>
      </c>
      <c r="F62" s="16" t="s">
        <v>18</v>
      </c>
      <c r="G62" s="16" t="s">
        <v>19</v>
      </c>
      <c r="H62" s="16">
        <v>59</v>
      </c>
      <c r="I62" s="17">
        <v>25</v>
      </c>
      <c r="J62" s="17">
        <f t="shared" si="0"/>
        <v>1475</v>
      </c>
      <c r="K62" s="17">
        <f>J62*0.416</f>
        <v>613.6</v>
      </c>
      <c r="L62" s="17">
        <f t="shared" si="1"/>
        <v>861.4</v>
      </c>
      <c r="M62" s="18">
        <f t="shared" si="2"/>
        <v>0.58399999999999996</v>
      </c>
      <c r="N62" s="16">
        <v>3.4</v>
      </c>
    </row>
    <row r="63" spans="1:14" x14ac:dyDescent="0.25">
      <c r="A63" s="19">
        <v>62</v>
      </c>
      <c r="B63" s="19" t="s">
        <v>57</v>
      </c>
      <c r="C63" s="19" t="s">
        <v>15</v>
      </c>
      <c r="D63" s="19" t="s">
        <v>16</v>
      </c>
      <c r="E63" s="19" t="s">
        <v>17</v>
      </c>
      <c r="F63" s="19" t="s">
        <v>22</v>
      </c>
      <c r="G63" s="19" t="s">
        <v>23</v>
      </c>
      <c r="H63" s="19">
        <v>23</v>
      </c>
      <c r="I63" s="20">
        <v>25</v>
      </c>
      <c r="J63" s="20">
        <f t="shared" si="0"/>
        <v>575</v>
      </c>
      <c r="K63" s="20">
        <f>J63*0.476</f>
        <v>273.7</v>
      </c>
      <c r="L63" s="20">
        <f t="shared" si="1"/>
        <v>301.3</v>
      </c>
      <c r="M63" s="21">
        <f t="shared" si="2"/>
        <v>0.52400000000000002</v>
      </c>
      <c r="N63" s="19">
        <v>3.9</v>
      </c>
    </row>
    <row r="64" spans="1:14" x14ac:dyDescent="0.25">
      <c r="A64" s="16">
        <v>63</v>
      </c>
      <c r="B64" s="16" t="s">
        <v>57</v>
      </c>
      <c r="C64" s="16" t="s">
        <v>29</v>
      </c>
      <c r="D64" s="16" t="s">
        <v>26</v>
      </c>
      <c r="E64" s="16" t="s">
        <v>49</v>
      </c>
      <c r="F64" s="16" t="s">
        <v>24</v>
      </c>
      <c r="G64" s="16" t="s">
        <v>32</v>
      </c>
      <c r="H64" s="16">
        <v>20</v>
      </c>
      <c r="I64" s="17">
        <v>35</v>
      </c>
      <c r="J64" s="17">
        <f t="shared" si="0"/>
        <v>700</v>
      </c>
      <c r="K64" s="17">
        <f>J64*0.513</f>
        <v>359.1</v>
      </c>
      <c r="L64" s="17">
        <f t="shared" si="1"/>
        <v>340.9</v>
      </c>
      <c r="M64" s="18">
        <f t="shared" si="2"/>
        <v>0.48699999999999999</v>
      </c>
      <c r="N64" s="16">
        <v>3.9</v>
      </c>
    </row>
    <row r="65" spans="1:14" x14ac:dyDescent="0.25">
      <c r="A65" s="19">
        <v>64</v>
      </c>
      <c r="B65" s="19" t="s">
        <v>57</v>
      </c>
      <c r="C65" s="19" t="s">
        <v>20</v>
      </c>
      <c r="D65" s="19" t="s">
        <v>26</v>
      </c>
      <c r="E65" s="19" t="s">
        <v>31</v>
      </c>
      <c r="F65" s="19" t="s">
        <v>27</v>
      </c>
      <c r="G65" s="19" t="s">
        <v>47</v>
      </c>
      <c r="H65" s="19">
        <v>55</v>
      </c>
      <c r="I65" s="20">
        <v>70</v>
      </c>
      <c r="J65" s="20">
        <f t="shared" si="0"/>
        <v>3850</v>
      </c>
      <c r="K65" s="20">
        <f>J65*0.436</f>
        <v>1678.6</v>
      </c>
      <c r="L65" s="20">
        <f t="shared" si="1"/>
        <v>2171.4</v>
      </c>
      <c r="M65" s="21">
        <f t="shared" si="2"/>
        <v>0.56400000000000006</v>
      </c>
      <c r="N65" s="19">
        <v>3.4</v>
      </c>
    </row>
    <row r="66" spans="1:14" x14ac:dyDescent="0.25">
      <c r="A66" s="16">
        <v>65</v>
      </c>
      <c r="B66" s="16" t="s">
        <v>57</v>
      </c>
      <c r="C66" s="16" t="s">
        <v>35</v>
      </c>
      <c r="D66" s="16" t="s">
        <v>30</v>
      </c>
      <c r="E66" s="16" t="s">
        <v>17</v>
      </c>
      <c r="F66" s="16" t="s">
        <v>41</v>
      </c>
      <c r="G66" s="16" t="s">
        <v>50</v>
      </c>
      <c r="H66" s="16">
        <v>56</v>
      </c>
      <c r="I66" s="17">
        <v>110</v>
      </c>
      <c r="J66" s="17">
        <f t="shared" ref="J66:J129" si="3">H66*I66</f>
        <v>6160</v>
      </c>
      <c r="K66" s="17">
        <f>J66*0.36</f>
        <v>2217.6</v>
      </c>
      <c r="L66" s="17">
        <f t="shared" ref="L66:L129" si="4">J66-K66</f>
        <v>3942.4</v>
      </c>
      <c r="M66" s="18">
        <f t="shared" ref="M66:M129" si="5">IF(J66=0,0,L66/J66)</f>
        <v>0.64</v>
      </c>
      <c r="N66" s="16">
        <v>4.4000000000000004</v>
      </c>
    </row>
    <row r="67" spans="1:14" x14ac:dyDescent="0.25">
      <c r="A67" s="19">
        <v>66</v>
      </c>
      <c r="B67" s="19" t="s">
        <v>57</v>
      </c>
      <c r="C67" s="19" t="s">
        <v>20</v>
      </c>
      <c r="D67" s="19" t="s">
        <v>30</v>
      </c>
      <c r="E67" s="19" t="s">
        <v>36</v>
      </c>
      <c r="F67" s="19" t="s">
        <v>27</v>
      </c>
      <c r="G67" s="19" t="s">
        <v>47</v>
      </c>
      <c r="H67" s="19">
        <v>73</v>
      </c>
      <c r="I67" s="20">
        <v>70</v>
      </c>
      <c r="J67" s="20">
        <f t="shared" si="3"/>
        <v>5110</v>
      </c>
      <c r="K67" s="20">
        <f>J67*0.499</f>
        <v>2549.89</v>
      </c>
      <c r="L67" s="20">
        <f t="shared" si="4"/>
        <v>2560.11</v>
      </c>
      <c r="M67" s="21">
        <f t="shared" si="5"/>
        <v>0.501</v>
      </c>
      <c r="N67" s="19">
        <v>4.3</v>
      </c>
    </row>
    <row r="68" spans="1:14" x14ac:dyDescent="0.25">
      <c r="A68" s="16">
        <v>67</v>
      </c>
      <c r="B68" s="16" t="s">
        <v>57</v>
      </c>
      <c r="C68" s="16" t="s">
        <v>35</v>
      </c>
      <c r="D68" s="16" t="s">
        <v>26</v>
      </c>
      <c r="E68" s="16" t="s">
        <v>31</v>
      </c>
      <c r="F68" s="16" t="s">
        <v>41</v>
      </c>
      <c r="G68" s="16" t="s">
        <v>50</v>
      </c>
      <c r="H68" s="16">
        <v>8</v>
      </c>
      <c r="I68" s="17">
        <v>110</v>
      </c>
      <c r="J68" s="17">
        <f t="shared" si="3"/>
        <v>880</v>
      </c>
      <c r="K68" s="17">
        <f>J68*0.405</f>
        <v>356.40000000000003</v>
      </c>
      <c r="L68" s="17">
        <f t="shared" si="4"/>
        <v>523.59999999999991</v>
      </c>
      <c r="M68" s="18">
        <f t="shared" si="5"/>
        <v>0.59499999999999986</v>
      </c>
      <c r="N68" s="16">
        <v>2.6</v>
      </c>
    </row>
    <row r="69" spans="1:14" x14ac:dyDescent="0.25">
      <c r="A69" s="19">
        <v>68</v>
      </c>
      <c r="B69" s="19" t="s">
        <v>57</v>
      </c>
      <c r="C69" s="19" t="s">
        <v>15</v>
      </c>
      <c r="D69" s="19" t="s">
        <v>26</v>
      </c>
      <c r="E69" s="19" t="s">
        <v>36</v>
      </c>
      <c r="F69" s="19" t="s">
        <v>41</v>
      </c>
      <c r="G69" s="19" t="s">
        <v>48</v>
      </c>
      <c r="H69" s="19">
        <v>29</v>
      </c>
      <c r="I69" s="20">
        <v>130</v>
      </c>
      <c r="J69" s="20">
        <f t="shared" si="3"/>
        <v>3770</v>
      </c>
      <c r="K69" s="20">
        <f>J69*0.473</f>
        <v>1783.2099999999998</v>
      </c>
      <c r="L69" s="20">
        <f t="shared" si="4"/>
        <v>1986.7900000000002</v>
      </c>
      <c r="M69" s="21">
        <f t="shared" si="5"/>
        <v>0.52700000000000002</v>
      </c>
      <c r="N69" s="19">
        <v>3.5</v>
      </c>
    </row>
    <row r="70" spans="1:14" x14ac:dyDescent="0.25">
      <c r="A70" s="16">
        <v>69</v>
      </c>
      <c r="B70" s="16" t="s">
        <v>57</v>
      </c>
      <c r="C70" s="16" t="s">
        <v>29</v>
      </c>
      <c r="D70" s="16" t="s">
        <v>16</v>
      </c>
      <c r="E70" s="16" t="s">
        <v>36</v>
      </c>
      <c r="F70" s="16" t="s">
        <v>22</v>
      </c>
      <c r="G70" s="16" t="s">
        <v>55</v>
      </c>
      <c r="H70" s="16">
        <v>77</v>
      </c>
      <c r="I70" s="17">
        <v>35</v>
      </c>
      <c r="J70" s="17">
        <f t="shared" si="3"/>
        <v>2695</v>
      </c>
      <c r="K70" s="17">
        <f>J70*0.394</f>
        <v>1061.8300000000002</v>
      </c>
      <c r="L70" s="17">
        <f t="shared" si="4"/>
        <v>1633.1699999999998</v>
      </c>
      <c r="M70" s="18">
        <f t="shared" si="5"/>
        <v>0.60599999999999998</v>
      </c>
      <c r="N70" s="16">
        <v>3.5</v>
      </c>
    </row>
    <row r="71" spans="1:14" x14ac:dyDescent="0.25">
      <c r="A71" s="19">
        <v>70</v>
      </c>
      <c r="B71" s="19" t="s">
        <v>57</v>
      </c>
      <c r="C71" s="19" t="s">
        <v>39</v>
      </c>
      <c r="D71" s="19" t="s">
        <v>16</v>
      </c>
      <c r="E71" s="19" t="s">
        <v>21</v>
      </c>
      <c r="F71" s="19" t="s">
        <v>24</v>
      </c>
      <c r="G71" s="19" t="s">
        <v>32</v>
      </c>
      <c r="H71" s="19">
        <v>31</v>
      </c>
      <c r="I71" s="20">
        <v>35</v>
      </c>
      <c r="J71" s="20">
        <f t="shared" si="3"/>
        <v>1085</v>
      </c>
      <c r="K71" s="20">
        <f>J71*0.439</f>
        <v>476.315</v>
      </c>
      <c r="L71" s="20">
        <f t="shared" si="4"/>
        <v>608.68499999999995</v>
      </c>
      <c r="M71" s="21">
        <f t="shared" si="5"/>
        <v>0.56099999999999994</v>
      </c>
      <c r="N71" s="19">
        <v>4.2</v>
      </c>
    </row>
    <row r="72" spans="1:14" x14ac:dyDescent="0.25">
      <c r="A72" s="16">
        <v>71</v>
      </c>
      <c r="B72" s="16" t="s">
        <v>57</v>
      </c>
      <c r="C72" s="16" t="s">
        <v>35</v>
      </c>
      <c r="D72" s="16" t="s">
        <v>26</v>
      </c>
      <c r="E72" s="16" t="s">
        <v>31</v>
      </c>
      <c r="F72" s="16" t="s">
        <v>27</v>
      </c>
      <c r="G72" s="16" t="s">
        <v>28</v>
      </c>
      <c r="H72" s="16">
        <v>69</v>
      </c>
      <c r="I72" s="17">
        <v>45</v>
      </c>
      <c r="J72" s="17">
        <f t="shared" si="3"/>
        <v>3105</v>
      </c>
      <c r="K72" s="17">
        <f>J72*0.544</f>
        <v>1689.1200000000001</v>
      </c>
      <c r="L72" s="17">
        <f t="shared" si="4"/>
        <v>1415.8799999999999</v>
      </c>
      <c r="M72" s="18">
        <f t="shared" si="5"/>
        <v>0.45599999999999996</v>
      </c>
      <c r="N72" s="16">
        <v>2.7</v>
      </c>
    </row>
    <row r="73" spans="1:14" x14ac:dyDescent="0.25">
      <c r="A73" s="19">
        <v>72</v>
      </c>
      <c r="B73" s="19" t="s">
        <v>57</v>
      </c>
      <c r="C73" s="19" t="s">
        <v>33</v>
      </c>
      <c r="D73" s="19" t="s">
        <v>30</v>
      </c>
      <c r="E73" s="19" t="s">
        <v>31</v>
      </c>
      <c r="F73" s="19" t="s">
        <v>27</v>
      </c>
      <c r="G73" s="19" t="s">
        <v>47</v>
      </c>
      <c r="H73" s="19">
        <v>73</v>
      </c>
      <c r="I73" s="20">
        <v>70</v>
      </c>
      <c r="J73" s="20">
        <f t="shared" si="3"/>
        <v>5110</v>
      </c>
      <c r="K73" s="20">
        <f>J73*0.362</f>
        <v>1849.82</v>
      </c>
      <c r="L73" s="20">
        <f t="shared" si="4"/>
        <v>3260.1800000000003</v>
      </c>
      <c r="M73" s="21">
        <f t="shared" si="5"/>
        <v>0.63800000000000001</v>
      </c>
      <c r="N73" s="19">
        <v>3.8</v>
      </c>
    </row>
    <row r="74" spans="1:14" x14ac:dyDescent="0.25">
      <c r="A74" s="16">
        <v>73</v>
      </c>
      <c r="B74" s="16" t="s">
        <v>57</v>
      </c>
      <c r="C74" s="16" t="s">
        <v>39</v>
      </c>
      <c r="D74" s="16" t="s">
        <v>26</v>
      </c>
      <c r="E74" s="16" t="s">
        <v>36</v>
      </c>
      <c r="F74" s="16" t="s">
        <v>22</v>
      </c>
      <c r="G74" s="16" t="s">
        <v>45</v>
      </c>
      <c r="H74" s="16">
        <v>19</v>
      </c>
      <c r="I74" s="17">
        <v>20</v>
      </c>
      <c r="J74" s="17">
        <f t="shared" si="3"/>
        <v>380</v>
      </c>
      <c r="K74" s="17">
        <f>J74*0.462</f>
        <v>175.56</v>
      </c>
      <c r="L74" s="17">
        <f t="shared" si="4"/>
        <v>204.44</v>
      </c>
      <c r="M74" s="18">
        <f t="shared" si="5"/>
        <v>0.53800000000000003</v>
      </c>
      <c r="N74" s="16">
        <v>4.3</v>
      </c>
    </row>
    <row r="75" spans="1:14" x14ac:dyDescent="0.25">
      <c r="A75" s="19">
        <v>74</v>
      </c>
      <c r="B75" s="19" t="s">
        <v>57</v>
      </c>
      <c r="C75" s="19" t="s">
        <v>29</v>
      </c>
      <c r="D75" s="19" t="s">
        <v>16</v>
      </c>
      <c r="E75" s="19" t="s">
        <v>21</v>
      </c>
      <c r="F75" s="19" t="s">
        <v>27</v>
      </c>
      <c r="G75" s="19" t="s">
        <v>28</v>
      </c>
      <c r="H75" s="19">
        <v>9</v>
      </c>
      <c r="I75" s="20">
        <v>45</v>
      </c>
      <c r="J75" s="20">
        <f t="shared" si="3"/>
        <v>405</v>
      </c>
      <c r="K75" s="20">
        <f>J75*0.496</f>
        <v>200.88</v>
      </c>
      <c r="L75" s="20">
        <f t="shared" si="4"/>
        <v>204.12</v>
      </c>
      <c r="M75" s="21">
        <f t="shared" si="5"/>
        <v>0.504</v>
      </c>
      <c r="N75" s="19">
        <v>3</v>
      </c>
    </row>
    <row r="76" spans="1:14" x14ac:dyDescent="0.25">
      <c r="A76" s="16">
        <v>75</v>
      </c>
      <c r="B76" s="16" t="s">
        <v>57</v>
      </c>
      <c r="C76" s="16" t="s">
        <v>35</v>
      </c>
      <c r="D76" s="16" t="s">
        <v>30</v>
      </c>
      <c r="E76" s="16" t="s">
        <v>36</v>
      </c>
      <c r="F76" s="16" t="s">
        <v>24</v>
      </c>
      <c r="G76" s="16" t="s">
        <v>37</v>
      </c>
      <c r="H76" s="16">
        <v>23</v>
      </c>
      <c r="I76" s="17">
        <v>30</v>
      </c>
      <c r="J76" s="17">
        <f t="shared" si="3"/>
        <v>690</v>
      </c>
      <c r="K76" s="17">
        <f>J76*0.386</f>
        <v>266.34000000000003</v>
      </c>
      <c r="L76" s="17">
        <f t="shared" si="4"/>
        <v>423.65999999999997</v>
      </c>
      <c r="M76" s="18">
        <f t="shared" si="5"/>
        <v>0.61399999999999999</v>
      </c>
      <c r="N76" s="16">
        <v>4.9000000000000004</v>
      </c>
    </row>
    <row r="77" spans="1:14" x14ac:dyDescent="0.25">
      <c r="A77" s="19">
        <v>76</v>
      </c>
      <c r="B77" s="19" t="s">
        <v>57</v>
      </c>
      <c r="C77" s="19" t="s">
        <v>35</v>
      </c>
      <c r="D77" s="19" t="s">
        <v>30</v>
      </c>
      <c r="E77" s="19" t="s">
        <v>49</v>
      </c>
      <c r="F77" s="19" t="s">
        <v>18</v>
      </c>
      <c r="G77" s="19" t="s">
        <v>19</v>
      </c>
      <c r="H77" s="19">
        <v>65</v>
      </c>
      <c r="I77" s="20">
        <v>25</v>
      </c>
      <c r="J77" s="20">
        <f t="shared" si="3"/>
        <v>1625</v>
      </c>
      <c r="K77" s="20">
        <f>J77*0.35</f>
        <v>568.75</v>
      </c>
      <c r="L77" s="20">
        <f t="shared" si="4"/>
        <v>1056.25</v>
      </c>
      <c r="M77" s="21">
        <f t="shared" si="5"/>
        <v>0.65</v>
      </c>
      <c r="N77" s="19">
        <v>5</v>
      </c>
    </row>
    <row r="78" spans="1:14" x14ac:dyDescent="0.25">
      <c r="A78" s="16">
        <v>77</v>
      </c>
      <c r="B78" s="16" t="s">
        <v>57</v>
      </c>
      <c r="C78" s="16" t="s">
        <v>39</v>
      </c>
      <c r="D78" s="16" t="s">
        <v>30</v>
      </c>
      <c r="E78" s="16" t="s">
        <v>21</v>
      </c>
      <c r="F78" s="16" t="s">
        <v>41</v>
      </c>
      <c r="G78" s="16" t="s">
        <v>42</v>
      </c>
      <c r="H78" s="16">
        <v>19</v>
      </c>
      <c r="I78" s="17">
        <v>95</v>
      </c>
      <c r="J78" s="17">
        <f t="shared" si="3"/>
        <v>1805</v>
      </c>
      <c r="K78" s="17">
        <f>J78*0.428</f>
        <v>772.54</v>
      </c>
      <c r="L78" s="17">
        <f t="shared" si="4"/>
        <v>1032.46</v>
      </c>
      <c r="M78" s="18">
        <f t="shared" si="5"/>
        <v>0.57200000000000006</v>
      </c>
      <c r="N78" s="16">
        <v>4</v>
      </c>
    </row>
    <row r="79" spans="1:14" x14ac:dyDescent="0.25">
      <c r="A79" s="19">
        <v>78</v>
      </c>
      <c r="B79" s="19" t="s">
        <v>57</v>
      </c>
      <c r="C79" s="19" t="s">
        <v>29</v>
      </c>
      <c r="D79" s="19" t="s">
        <v>30</v>
      </c>
      <c r="E79" s="19" t="s">
        <v>21</v>
      </c>
      <c r="F79" s="19" t="s">
        <v>22</v>
      </c>
      <c r="G79" s="19" t="s">
        <v>23</v>
      </c>
      <c r="H79" s="19">
        <v>8</v>
      </c>
      <c r="I79" s="20">
        <v>25</v>
      </c>
      <c r="J79" s="20">
        <f t="shared" si="3"/>
        <v>200</v>
      </c>
      <c r="K79" s="20">
        <f>J79*0.55</f>
        <v>110.00000000000001</v>
      </c>
      <c r="L79" s="20">
        <f t="shared" si="4"/>
        <v>89.999999999999986</v>
      </c>
      <c r="M79" s="21">
        <f t="shared" si="5"/>
        <v>0.44999999999999996</v>
      </c>
      <c r="N79" s="19">
        <v>3</v>
      </c>
    </row>
    <row r="80" spans="1:14" x14ac:dyDescent="0.25">
      <c r="A80" s="16">
        <v>79</v>
      </c>
      <c r="B80" s="16" t="s">
        <v>57</v>
      </c>
      <c r="C80" s="16" t="s">
        <v>15</v>
      </c>
      <c r="D80" s="16" t="s">
        <v>30</v>
      </c>
      <c r="E80" s="16" t="s">
        <v>36</v>
      </c>
      <c r="F80" s="16" t="s">
        <v>18</v>
      </c>
      <c r="G80" s="16" t="s">
        <v>19</v>
      </c>
      <c r="H80" s="16">
        <v>62</v>
      </c>
      <c r="I80" s="17">
        <v>25</v>
      </c>
      <c r="J80" s="17">
        <f t="shared" si="3"/>
        <v>1550</v>
      </c>
      <c r="K80" s="17">
        <f>J80*0.385</f>
        <v>596.75</v>
      </c>
      <c r="L80" s="17">
        <f t="shared" si="4"/>
        <v>953.25</v>
      </c>
      <c r="M80" s="18">
        <f t="shared" si="5"/>
        <v>0.61499999999999999</v>
      </c>
      <c r="N80" s="16">
        <v>4.0999999999999996</v>
      </c>
    </row>
    <row r="81" spans="1:14" x14ac:dyDescent="0.25">
      <c r="A81" s="19">
        <v>80</v>
      </c>
      <c r="B81" s="19" t="s">
        <v>57</v>
      </c>
      <c r="C81" s="19" t="s">
        <v>15</v>
      </c>
      <c r="D81" s="19" t="s">
        <v>26</v>
      </c>
      <c r="E81" s="19" t="s">
        <v>21</v>
      </c>
      <c r="F81" s="19" t="s">
        <v>22</v>
      </c>
      <c r="G81" s="19" t="s">
        <v>23</v>
      </c>
      <c r="H81" s="19">
        <v>69</v>
      </c>
      <c r="I81" s="20">
        <v>25</v>
      </c>
      <c r="J81" s="20">
        <f t="shared" si="3"/>
        <v>1725</v>
      </c>
      <c r="K81" s="20">
        <f>J81*0.384</f>
        <v>662.4</v>
      </c>
      <c r="L81" s="20">
        <f t="shared" si="4"/>
        <v>1062.5999999999999</v>
      </c>
      <c r="M81" s="21">
        <f t="shared" si="5"/>
        <v>0.61599999999999999</v>
      </c>
      <c r="N81" s="19">
        <v>3.8</v>
      </c>
    </row>
    <row r="82" spans="1:14" x14ac:dyDescent="0.25">
      <c r="A82" s="16">
        <v>81</v>
      </c>
      <c r="B82" s="16" t="s">
        <v>58</v>
      </c>
      <c r="C82" s="16" t="s">
        <v>43</v>
      </c>
      <c r="D82" s="16" t="s">
        <v>26</v>
      </c>
      <c r="E82" s="16" t="s">
        <v>31</v>
      </c>
      <c r="F82" s="16" t="s">
        <v>27</v>
      </c>
      <c r="G82" s="16" t="s">
        <v>51</v>
      </c>
      <c r="H82" s="16">
        <v>44</v>
      </c>
      <c r="I82" s="17">
        <v>55</v>
      </c>
      <c r="J82" s="17">
        <f t="shared" si="3"/>
        <v>2420</v>
      </c>
      <c r="K82" s="17">
        <f>J82*0.351</f>
        <v>849.42</v>
      </c>
      <c r="L82" s="17">
        <f t="shared" si="4"/>
        <v>1570.58</v>
      </c>
      <c r="M82" s="18">
        <f t="shared" si="5"/>
        <v>0.64900000000000002</v>
      </c>
      <c r="N82" s="16">
        <v>4.4000000000000004</v>
      </c>
    </row>
    <row r="83" spans="1:14" x14ac:dyDescent="0.25">
      <c r="A83" s="19">
        <v>82</v>
      </c>
      <c r="B83" s="19" t="s">
        <v>58</v>
      </c>
      <c r="C83" s="19" t="s">
        <v>43</v>
      </c>
      <c r="D83" s="19" t="s">
        <v>16</v>
      </c>
      <c r="E83" s="19" t="s">
        <v>36</v>
      </c>
      <c r="F83" s="19" t="s">
        <v>27</v>
      </c>
      <c r="G83" s="19" t="s">
        <v>51</v>
      </c>
      <c r="H83" s="19">
        <v>28</v>
      </c>
      <c r="I83" s="20">
        <v>55</v>
      </c>
      <c r="J83" s="20">
        <f t="shared" si="3"/>
        <v>1540</v>
      </c>
      <c r="K83" s="20">
        <f>J83*0.443</f>
        <v>682.22</v>
      </c>
      <c r="L83" s="20">
        <f t="shared" si="4"/>
        <v>857.78</v>
      </c>
      <c r="M83" s="21">
        <f t="shared" si="5"/>
        <v>0.55699999999999994</v>
      </c>
      <c r="N83" s="19">
        <v>4.3</v>
      </c>
    </row>
    <row r="84" spans="1:14" x14ac:dyDescent="0.25">
      <c r="A84" s="16">
        <v>83</v>
      </c>
      <c r="B84" s="16" t="s">
        <v>58</v>
      </c>
      <c r="C84" s="16" t="s">
        <v>20</v>
      </c>
      <c r="D84" s="16" t="s">
        <v>30</v>
      </c>
      <c r="E84" s="16" t="s">
        <v>21</v>
      </c>
      <c r="F84" s="16" t="s">
        <v>24</v>
      </c>
      <c r="G84" s="16" t="s">
        <v>44</v>
      </c>
      <c r="H84" s="16">
        <v>73</v>
      </c>
      <c r="I84" s="17">
        <v>50</v>
      </c>
      <c r="J84" s="17">
        <f t="shared" si="3"/>
        <v>3650</v>
      </c>
      <c r="K84" s="17">
        <f>J84*0.35</f>
        <v>1277.5</v>
      </c>
      <c r="L84" s="17">
        <f t="shared" si="4"/>
        <v>2372.5</v>
      </c>
      <c r="M84" s="18">
        <f t="shared" si="5"/>
        <v>0.65</v>
      </c>
      <c r="N84" s="16">
        <v>4</v>
      </c>
    </row>
    <row r="85" spans="1:14" x14ac:dyDescent="0.25">
      <c r="A85" s="19">
        <v>84</v>
      </c>
      <c r="B85" s="19" t="s">
        <v>58</v>
      </c>
      <c r="C85" s="19" t="s">
        <v>35</v>
      </c>
      <c r="D85" s="19" t="s">
        <v>26</v>
      </c>
      <c r="E85" s="19" t="s">
        <v>31</v>
      </c>
      <c r="F85" s="19" t="s">
        <v>22</v>
      </c>
      <c r="G85" s="19" t="s">
        <v>55</v>
      </c>
      <c r="H85" s="19">
        <v>47</v>
      </c>
      <c r="I85" s="20">
        <v>35</v>
      </c>
      <c r="J85" s="20">
        <f t="shared" si="3"/>
        <v>1645</v>
      </c>
      <c r="K85" s="20">
        <f>J85*0.43</f>
        <v>707.35</v>
      </c>
      <c r="L85" s="20">
        <f t="shared" si="4"/>
        <v>937.65</v>
      </c>
      <c r="M85" s="21">
        <f t="shared" si="5"/>
        <v>0.56999999999999995</v>
      </c>
      <c r="N85" s="19">
        <v>2.5</v>
      </c>
    </row>
    <row r="86" spans="1:14" x14ac:dyDescent="0.25">
      <c r="A86" s="16">
        <v>85</v>
      </c>
      <c r="B86" s="16" t="s">
        <v>58</v>
      </c>
      <c r="C86" s="16" t="s">
        <v>29</v>
      </c>
      <c r="D86" s="16" t="s">
        <v>16</v>
      </c>
      <c r="E86" s="16" t="s">
        <v>49</v>
      </c>
      <c r="F86" s="16" t="s">
        <v>22</v>
      </c>
      <c r="G86" s="16" t="s">
        <v>23</v>
      </c>
      <c r="H86" s="16">
        <v>47</v>
      </c>
      <c r="I86" s="17">
        <v>25</v>
      </c>
      <c r="J86" s="17">
        <f t="shared" si="3"/>
        <v>1175</v>
      </c>
      <c r="K86" s="17">
        <f>J86*0.528</f>
        <v>620.4</v>
      </c>
      <c r="L86" s="17">
        <f t="shared" si="4"/>
        <v>554.6</v>
      </c>
      <c r="M86" s="18">
        <f t="shared" si="5"/>
        <v>0.47200000000000003</v>
      </c>
      <c r="N86" s="16">
        <v>2.7</v>
      </c>
    </row>
    <row r="87" spans="1:14" x14ac:dyDescent="0.25">
      <c r="A87" s="19">
        <v>86</v>
      </c>
      <c r="B87" s="19" t="s">
        <v>58</v>
      </c>
      <c r="C87" s="19" t="s">
        <v>15</v>
      </c>
      <c r="D87" s="19" t="s">
        <v>30</v>
      </c>
      <c r="E87" s="19" t="s">
        <v>49</v>
      </c>
      <c r="F87" s="19" t="s">
        <v>18</v>
      </c>
      <c r="G87" s="19" t="s">
        <v>54</v>
      </c>
      <c r="H87" s="19">
        <v>27</v>
      </c>
      <c r="I87" s="20">
        <v>40</v>
      </c>
      <c r="J87" s="20">
        <f t="shared" si="3"/>
        <v>1080</v>
      </c>
      <c r="K87" s="20">
        <f>J87*0.464</f>
        <v>501.12</v>
      </c>
      <c r="L87" s="20">
        <f t="shared" si="4"/>
        <v>578.88</v>
      </c>
      <c r="M87" s="21">
        <f t="shared" si="5"/>
        <v>0.53600000000000003</v>
      </c>
      <c r="N87" s="19">
        <v>3.7</v>
      </c>
    </row>
    <row r="88" spans="1:14" x14ac:dyDescent="0.25">
      <c r="A88" s="16">
        <v>87</v>
      </c>
      <c r="B88" s="16" t="s">
        <v>58</v>
      </c>
      <c r="C88" s="16" t="s">
        <v>15</v>
      </c>
      <c r="D88" s="16" t="s">
        <v>16</v>
      </c>
      <c r="E88" s="16" t="s">
        <v>31</v>
      </c>
      <c r="F88" s="16" t="s">
        <v>41</v>
      </c>
      <c r="G88" s="16" t="s">
        <v>42</v>
      </c>
      <c r="H88" s="16">
        <v>70</v>
      </c>
      <c r="I88" s="17">
        <v>95</v>
      </c>
      <c r="J88" s="17">
        <f t="shared" si="3"/>
        <v>6650</v>
      </c>
      <c r="K88" s="17">
        <f>J88*0.418</f>
        <v>2779.7</v>
      </c>
      <c r="L88" s="17">
        <f t="shared" si="4"/>
        <v>3870.3</v>
      </c>
      <c r="M88" s="18">
        <f t="shared" si="5"/>
        <v>0.58200000000000007</v>
      </c>
      <c r="N88" s="16">
        <v>4.9000000000000004</v>
      </c>
    </row>
    <row r="89" spans="1:14" x14ac:dyDescent="0.25">
      <c r="A89" s="19">
        <v>88</v>
      </c>
      <c r="B89" s="19" t="s">
        <v>58</v>
      </c>
      <c r="C89" s="19" t="s">
        <v>20</v>
      </c>
      <c r="D89" s="19" t="s">
        <v>16</v>
      </c>
      <c r="E89" s="19" t="s">
        <v>17</v>
      </c>
      <c r="F89" s="19" t="s">
        <v>41</v>
      </c>
      <c r="G89" s="19" t="s">
        <v>42</v>
      </c>
      <c r="H89" s="19">
        <v>57</v>
      </c>
      <c r="I89" s="20">
        <v>95</v>
      </c>
      <c r="J89" s="20">
        <f t="shared" si="3"/>
        <v>5415</v>
      </c>
      <c r="K89" s="20">
        <f>J89*0.54</f>
        <v>2924.1000000000004</v>
      </c>
      <c r="L89" s="20">
        <f t="shared" si="4"/>
        <v>2490.8999999999996</v>
      </c>
      <c r="M89" s="21">
        <f t="shared" si="5"/>
        <v>0.45999999999999991</v>
      </c>
      <c r="N89" s="19">
        <v>4</v>
      </c>
    </row>
    <row r="90" spans="1:14" x14ac:dyDescent="0.25">
      <c r="A90" s="16">
        <v>89</v>
      </c>
      <c r="B90" s="16" t="s">
        <v>58</v>
      </c>
      <c r="C90" s="16" t="s">
        <v>29</v>
      </c>
      <c r="D90" s="16" t="s">
        <v>30</v>
      </c>
      <c r="E90" s="16" t="s">
        <v>21</v>
      </c>
      <c r="F90" s="16" t="s">
        <v>41</v>
      </c>
      <c r="G90" s="16" t="s">
        <v>50</v>
      </c>
      <c r="H90" s="16">
        <v>14</v>
      </c>
      <c r="I90" s="17">
        <v>110</v>
      </c>
      <c r="J90" s="17">
        <f t="shared" si="3"/>
        <v>1540</v>
      </c>
      <c r="K90" s="17">
        <f>J90*0.449</f>
        <v>691.46</v>
      </c>
      <c r="L90" s="17">
        <f t="shared" si="4"/>
        <v>848.54</v>
      </c>
      <c r="M90" s="18">
        <f t="shared" si="5"/>
        <v>0.55099999999999993</v>
      </c>
      <c r="N90" s="16">
        <v>3.2</v>
      </c>
    </row>
    <row r="91" spans="1:14" x14ac:dyDescent="0.25">
      <c r="A91" s="19">
        <v>90</v>
      </c>
      <c r="B91" s="19" t="s">
        <v>58</v>
      </c>
      <c r="C91" s="19" t="s">
        <v>39</v>
      </c>
      <c r="D91" s="19" t="s">
        <v>30</v>
      </c>
      <c r="E91" s="19" t="s">
        <v>36</v>
      </c>
      <c r="F91" s="19" t="s">
        <v>22</v>
      </c>
      <c r="G91" s="19" t="s">
        <v>55</v>
      </c>
      <c r="H91" s="19">
        <v>29</v>
      </c>
      <c r="I91" s="20">
        <v>35</v>
      </c>
      <c r="J91" s="20">
        <f t="shared" si="3"/>
        <v>1015</v>
      </c>
      <c r="K91" s="20">
        <f>J91*0.41</f>
        <v>416.15</v>
      </c>
      <c r="L91" s="20">
        <f t="shared" si="4"/>
        <v>598.85</v>
      </c>
      <c r="M91" s="21">
        <f t="shared" si="5"/>
        <v>0.59</v>
      </c>
      <c r="N91" s="19">
        <v>3.8</v>
      </c>
    </row>
    <row r="92" spans="1:14" x14ac:dyDescent="0.25">
      <c r="A92" s="16">
        <v>91</v>
      </c>
      <c r="B92" s="16" t="s">
        <v>58</v>
      </c>
      <c r="C92" s="16" t="s">
        <v>29</v>
      </c>
      <c r="D92" s="16" t="s">
        <v>16</v>
      </c>
      <c r="E92" s="16" t="s">
        <v>49</v>
      </c>
      <c r="F92" s="16" t="s">
        <v>18</v>
      </c>
      <c r="G92" s="16" t="s">
        <v>34</v>
      </c>
      <c r="H92" s="16">
        <v>30</v>
      </c>
      <c r="I92" s="17">
        <v>55</v>
      </c>
      <c r="J92" s="17">
        <f t="shared" si="3"/>
        <v>1650</v>
      </c>
      <c r="K92" s="17">
        <f>J92*0.435</f>
        <v>717.75</v>
      </c>
      <c r="L92" s="17">
        <f t="shared" si="4"/>
        <v>932.25</v>
      </c>
      <c r="M92" s="18">
        <f t="shared" si="5"/>
        <v>0.56499999999999995</v>
      </c>
      <c r="N92" s="16">
        <v>4.2</v>
      </c>
    </row>
    <row r="93" spans="1:14" x14ac:dyDescent="0.25">
      <c r="A93" s="19">
        <v>92</v>
      </c>
      <c r="B93" s="19" t="s">
        <v>58</v>
      </c>
      <c r="C93" s="19" t="s">
        <v>15</v>
      </c>
      <c r="D93" s="19" t="s">
        <v>16</v>
      </c>
      <c r="E93" s="19" t="s">
        <v>49</v>
      </c>
      <c r="F93" s="19" t="s">
        <v>27</v>
      </c>
      <c r="G93" s="19" t="s">
        <v>52</v>
      </c>
      <c r="H93" s="19">
        <v>31</v>
      </c>
      <c r="I93" s="20">
        <v>35</v>
      </c>
      <c r="J93" s="20">
        <f t="shared" si="3"/>
        <v>1085</v>
      </c>
      <c r="K93" s="20">
        <f>J93*0.488</f>
        <v>529.48</v>
      </c>
      <c r="L93" s="20">
        <f t="shared" si="4"/>
        <v>555.52</v>
      </c>
      <c r="M93" s="21">
        <f t="shared" si="5"/>
        <v>0.51200000000000001</v>
      </c>
      <c r="N93" s="19">
        <v>4</v>
      </c>
    </row>
    <row r="94" spans="1:14" x14ac:dyDescent="0.25">
      <c r="A94" s="16">
        <v>93</v>
      </c>
      <c r="B94" s="16" t="s">
        <v>58</v>
      </c>
      <c r="C94" s="16" t="s">
        <v>39</v>
      </c>
      <c r="D94" s="16" t="s">
        <v>30</v>
      </c>
      <c r="E94" s="16" t="s">
        <v>17</v>
      </c>
      <c r="F94" s="16" t="s">
        <v>41</v>
      </c>
      <c r="G94" s="16" t="s">
        <v>48</v>
      </c>
      <c r="H94" s="16">
        <v>65</v>
      </c>
      <c r="I94" s="17">
        <v>130</v>
      </c>
      <c r="J94" s="17">
        <f t="shared" si="3"/>
        <v>8450</v>
      </c>
      <c r="K94" s="17">
        <f>J94*0.416</f>
        <v>3515.2</v>
      </c>
      <c r="L94" s="17">
        <f t="shared" si="4"/>
        <v>4934.8</v>
      </c>
      <c r="M94" s="18">
        <f t="shared" si="5"/>
        <v>0.58400000000000007</v>
      </c>
      <c r="N94" s="16">
        <v>2.9</v>
      </c>
    </row>
    <row r="95" spans="1:14" x14ac:dyDescent="0.25">
      <c r="A95" s="19">
        <v>94</v>
      </c>
      <c r="B95" s="19" t="s">
        <v>58</v>
      </c>
      <c r="C95" s="19" t="s">
        <v>35</v>
      </c>
      <c r="D95" s="19" t="s">
        <v>30</v>
      </c>
      <c r="E95" s="19" t="s">
        <v>17</v>
      </c>
      <c r="F95" s="19" t="s">
        <v>27</v>
      </c>
      <c r="G95" s="19" t="s">
        <v>47</v>
      </c>
      <c r="H95" s="19">
        <v>59</v>
      </c>
      <c r="I95" s="20">
        <v>70</v>
      </c>
      <c r="J95" s="20">
        <f t="shared" si="3"/>
        <v>4130</v>
      </c>
      <c r="K95" s="20">
        <f>J95*0.36</f>
        <v>1486.8</v>
      </c>
      <c r="L95" s="20">
        <f t="shared" si="4"/>
        <v>2643.2</v>
      </c>
      <c r="M95" s="21">
        <f t="shared" si="5"/>
        <v>0.6399999999999999</v>
      </c>
      <c r="N95" s="19">
        <v>4.9000000000000004</v>
      </c>
    </row>
    <row r="96" spans="1:14" x14ac:dyDescent="0.25">
      <c r="A96" s="16">
        <v>95</v>
      </c>
      <c r="B96" s="16" t="s">
        <v>58</v>
      </c>
      <c r="C96" s="16" t="s">
        <v>35</v>
      </c>
      <c r="D96" s="16" t="s">
        <v>26</v>
      </c>
      <c r="E96" s="16" t="s">
        <v>21</v>
      </c>
      <c r="F96" s="16" t="s">
        <v>22</v>
      </c>
      <c r="G96" s="16" t="s">
        <v>40</v>
      </c>
      <c r="H96" s="16">
        <v>54</v>
      </c>
      <c r="I96" s="17">
        <v>30</v>
      </c>
      <c r="J96" s="17">
        <f t="shared" si="3"/>
        <v>1620</v>
      </c>
      <c r="K96" s="17">
        <f>J96*0.453</f>
        <v>733.86</v>
      </c>
      <c r="L96" s="17">
        <f t="shared" si="4"/>
        <v>886.14</v>
      </c>
      <c r="M96" s="18">
        <f t="shared" si="5"/>
        <v>0.54700000000000004</v>
      </c>
      <c r="N96" s="16">
        <v>4.7</v>
      </c>
    </row>
    <row r="97" spans="1:14" x14ac:dyDescent="0.25">
      <c r="A97" s="19">
        <v>96</v>
      </c>
      <c r="B97" s="19" t="s">
        <v>58</v>
      </c>
      <c r="C97" s="19" t="s">
        <v>35</v>
      </c>
      <c r="D97" s="19" t="s">
        <v>16</v>
      </c>
      <c r="E97" s="19" t="s">
        <v>21</v>
      </c>
      <c r="F97" s="19" t="s">
        <v>41</v>
      </c>
      <c r="G97" s="19" t="s">
        <v>56</v>
      </c>
      <c r="H97" s="19">
        <v>45</v>
      </c>
      <c r="I97" s="20">
        <v>85</v>
      </c>
      <c r="J97" s="20">
        <f t="shared" si="3"/>
        <v>3825</v>
      </c>
      <c r="K97" s="20">
        <f>J97*0.406</f>
        <v>1552.95</v>
      </c>
      <c r="L97" s="20">
        <f t="shared" si="4"/>
        <v>2272.0500000000002</v>
      </c>
      <c r="M97" s="21">
        <f t="shared" si="5"/>
        <v>0.59400000000000008</v>
      </c>
      <c r="N97" s="19">
        <v>3.1</v>
      </c>
    </row>
    <row r="98" spans="1:14" x14ac:dyDescent="0.25">
      <c r="A98" s="16">
        <v>97</v>
      </c>
      <c r="B98" s="16" t="s">
        <v>58</v>
      </c>
      <c r="C98" s="16" t="s">
        <v>39</v>
      </c>
      <c r="D98" s="16" t="s">
        <v>30</v>
      </c>
      <c r="E98" s="16" t="s">
        <v>31</v>
      </c>
      <c r="F98" s="16" t="s">
        <v>27</v>
      </c>
      <c r="G98" s="16" t="s">
        <v>52</v>
      </c>
      <c r="H98" s="16">
        <v>6</v>
      </c>
      <c r="I98" s="17">
        <v>35</v>
      </c>
      <c r="J98" s="17">
        <f t="shared" si="3"/>
        <v>210</v>
      </c>
      <c r="K98" s="17">
        <f>J98*0.501</f>
        <v>105.21</v>
      </c>
      <c r="L98" s="17">
        <f t="shared" si="4"/>
        <v>104.79</v>
      </c>
      <c r="M98" s="18">
        <f t="shared" si="5"/>
        <v>0.49900000000000005</v>
      </c>
      <c r="N98" s="16">
        <v>4.8</v>
      </c>
    </row>
    <row r="99" spans="1:14" x14ac:dyDescent="0.25">
      <c r="A99" s="19">
        <v>98</v>
      </c>
      <c r="B99" s="19" t="s">
        <v>58</v>
      </c>
      <c r="C99" s="19" t="s">
        <v>39</v>
      </c>
      <c r="D99" s="19" t="s">
        <v>26</v>
      </c>
      <c r="E99" s="19" t="s">
        <v>17</v>
      </c>
      <c r="F99" s="19" t="s">
        <v>41</v>
      </c>
      <c r="G99" s="19" t="s">
        <v>50</v>
      </c>
      <c r="H99" s="19">
        <v>22</v>
      </c>
      <c r="I99" s="20">
        <v>110</v>
      </c>
      <c r="J99" s="20">
        <f t="shared" si="3"/>
        <v>2420</v>
      </c>
      <c r="K99" s="20">
        <f>J99*0.438</f>
        <v>1059.96</v>
      </c>
      <c r="L99" s="20">
        <f t="shared" si="4"/>
        <v>1360.04</v>
      </c>
      <c r="M99" s="21">
        <f t="shared" si="5"/>
        <v>0.56199999999999994</v>
      </c>
      <c r="N99" s="19">
        <v>4.7</v>
      </c>
    </row>
    <row r="100" spans="1:14" x14ac:dyDescent="0.25">
      <c r="A100" s="16">
        <v>99</v>
      </c>
      <c r="B100" s="16" t="s">
        <v>58</v>
      </c>
      <c r="C100" s="16" t="s">
        <v>15</v>
      </c>
      <c r="D100" s="16" t="s">
        <v>26</v>
      </c>
      <c r="E100" s="16" t="s">
        <v>17</v>
      </c>
      <c r="F100" s="16" t="s">
        <v>18</v>
      </c>
      <c r="G100" s="16" t="s">
        <v>38</v>
      </c>
      <c r="H100" s="16">
        <v>13</v>
      </c>
      <c r="I100" s="17">
        <v>45</v>
      </c>
      <c r="J100" s="17">
        <f t="shared" si="3"/>
        <v>585</v>
      </c>
      <c r="K100" s="17">
        <f>J100*0.395</f>
        <v>231.07500000000002</v>
      </c>
      <c r="L100" s="17">
        <f t="shared" si="4"/>
        <v>353.92499999999995</v>
      </c>
      <c r="M100" s="18">
        <f t="shared" si="5"/>
        <v>0.60499999999999987</v>
      </c>
      <c r="N100" s="16">
        <v>3.2</v>
      </c>
    </row>
    <row r="101" spans="1:14" x14ac:dyDescent="0.25">
      <c r="A101" s="19">
        <v>100</v>
      </c>
      <c r="B101" s="19" t="s">
        <v>58</v>
      </c>
      <c r="C101" s="19" t="s">
        <v>39</v>
      </c>
      <c r="D101" s="19" t="s">
        <v>16</v>
      </c>
      <c r="E101" s="19" t="s">
        <v>36</v>
      </c>
      <c r="F101" s="19" t="s">
        <v>41</v>
      </c>
      <c r="G101" s="19" t="s">
        <v>42</v>
      </c>
      <c r="H101" s="19">
        <v>36</v>
      </c>
      <c r="I101" s="20">
        <v>95</v>
      </c>
      <c r="J101" s="20">
        <f t="shared" si="3"/>
        <v>3420</v>
      </c>
      <c r="K101" s="20">
        <f>J101*0.417</f>
        <v>1426.1399999999999</v>
      </c>
      <c r="L101" s="20">
        <f t="shared" si="4"/>
        <v>1993.8600000000001</v>
      </c>
      <c r="M101" s="21">
        <f t="shared" si="5"/>
        <v>0.58300000000000007</v>
      </c>
      <c r="N101" s="19">
        <v>3</v>
      </c>
    </row>
    <row r="102" spans="1:14" x14ac:dyDescent="0.25">
      <c r="A102" s="16">
        <v>101</v>
      </c>
      <c r="B102" s="16" t="s">
        <v>59</v>
      </c>
      <c r="C102" s="16" t="s">
        <v>35</v>
      </c>
      <c r="D102" s="16" t="s">
        <v>16</v>
      </c>
      <c r="E102" s="16" t="s">
        <v>21</v>
      </c>
      <c r="F102" s="16" t="s">
        <v>41</v>
      </c>
      <c r="G102" s="16" t="s">
        <v>48</v>
      </c>
      <c r="H102" s="16">
        <v>56</v>
      </c>
      <c r="I102" s="17">
        <v>130</v>
      </c>
      <c r="J102" s="17">
        <f t="shared" si="3"/>
        <v>7280</v>
      </c>
      <c r="K102" s="17">
        <f>J102*0.414</f>
        <v>3013.92</v>
      </c>
      <c r="L102" s="17">
        <f t="shared" si="4"/>
        <v>4266.08</v>
      </c>
      <c r="M102" s="18">
        <f t="shared" si="5"/>
        <v>0.58599999999999997</v>
      </c>
      <c r="N102" s="16">
        <v>4</v>
      </c>
    </row>
    <row r="103" spans="1:14" x14ac:dyDescent="0.25">
      <c r="A103" s="19">
        <v>102</v>
      </c>
      <c r="B103" s="19" t="s">
        <v>59</v>
      </c>
      <c r="C103" s="19" t="s">
        <v>15</v>
      </c>
      <c r="D103" s="19" t="s">
        <v>26</v>
      </c>
      <c r="E103" s="19" t="s">
        <v>49</v>
      </c>
      <c r="F103" s="19" t="s">
        <v>18</v>
      </c>
      <c r="G103" s="19" t="s">
        <v>34</v>
      </c>
      <c r="H103" s="19">
        <v>64</v>
      </c>
      <c r="I103" s="20">
        <v>55</v>
      </c>
      <c r="J103" s="20">
        <f t="shared" si="3"/>
        <v>3520</v>
      </c>
      <c r="K103" s="20">
        <f>J103*0.365</f>
        <v>1284.8</v>
      </c>
      <c r="L103" s="20">
        <f t="shared" si="4"/>
        <v>2235.1999999999998</v>
      </c>
      <c r="M103" s="21">
        <f t="shared" si="5"/>
        <v>0.6349999999999999</v>
      </c>
      <c r="N103" s="19">
        <v>3.5</v>
      </c>
    </row>
    <row r="104" spans="1:14" x14ac:dyDescent="0.25">
      <c r="A104" s="16">
        <v>103</v>
      </c>
      <c r="B104" s="16" t="s">
        <v>59</v>
      </c>
      <c r="C104" s="16" t="s">
        <v>43</v>
      </c>
      <c r="D104" s="16" t="s">
        <v>30</v>
      </c>
      <c r="E104" s="16" t="s">
        <v>31</v>
      </c>
      <c r="F104" s="16" t="s">
        <v>27</v>
      </c>
      <c r="G104" s="16" t="s">
        <v>51</v>
      </c>
      <c r="H104" s="16">
        <v>38</v>
      </c>
      <c r="I104" s="17">
        <v>55</v>
      </c>
      <c r="J104" s="17">
        <f t="shared" si="3"/>
        <v>2090</v>
      </c>
      <c r="K104" s="17">
        <f>J104*0.459</f>
        <v>959.31000000000006</v>
      </c>
      <c r="L104" s="17">
        <f t="shared" si="4"/>
        <v>1130.69</v>
      </c>
      <c r="M104" s="18">
        <f t="shared" si="5"/>
        <v>0.54100000000000004</v>
      </c>
      <c r="N104" s="16">
        <v>3.4</v>
      </c>
    </row>
    <row r="105" spans="1:14" x14ac:dyDescent="0.25">
      <c r="A105" s="19">
        <v>104</v>
      </c>
      <c r="B105" s="19" t="s">
        <v>59</v>
      </c>
      <c r="C105" s="19" t="s">
        <v>15</v>
      </c>
      <c r="D105" s="19" t="s">
        <v>30</v>
      </c>
      <c r="E105" s="19" t="s">
        <v>31</v>
      </c>
      <c r="F105" s="19" t="s">
        <v>22</v>
      </c>
      <c r="G105" s="19" t="s">
        <v>23</v>
      </c>
      <c r="H105" s="19">
        <v>50</v>
      </c>
      <c r="I105" s="20">
        <v>25</v>
      </c>
      <c r="J105" s="20">
        <f t="shared" si="3"/>
        <v>1250</v>
      </c>
      <c r="K105" s="20">
        <f>J105*0.475</f>
        <v>593.75</v>
      </c>
      <c r="L105" s="20">
        <f t="shared" si="4"/>
        <v>656.25</v>
      </c>
      <c r="M105" s="21">
        <f t="shared" si="5"/>
        <v>0.52500000000000002</v>
      </c>
      <c r="N105" s="19">
        <v>4</v>
      </c>
    </row>
    <row r="106" spans="1:14" x14ac:dyDescent="0.25">
      <c r="A106" s="16">
        <v>105</v>
      </c>
      <c r="B106" s="16" t="s">
        <v>59</v>
      </c>
      <c r="C106" s="16" t="s">
        <v>29</v>
      </c>
      <c r="D106" s="16" t="s">
        <v>16</v>
      </c>
      <c r="E106" s="16" t="s">
        <v>17</v>
      </c>
      <c r="F106" s="16" t="s">
        <v>27</v>
      </c>
      <c r="G106" s="16" t="s">
        <v>28</v>
      </c>
      <c r="H106" s="16">
        <v>71</v>
      </c>
      <c r="I106" s="17">
        <v>45</v>
      </c>
      <c r="J106" s="17">
        <f t="shared" si="3"/>
        <v>3195</v>
      </c>
      <c r="K106" s="17">
        <f>J106*0.393</f>
        <v>1255.635</v>
      </c>
      <c r="L106" s="17">
        <f t="shared" si="4"/>
        <v>1939.365</v>
      </c>
      <c r="M106" s="18">
        <f t="shared" si="5"/>
        <v>0.60699999999999998</v>
      </c>
      <c r="N106" s="16">
        <v>2.8</v>
      </c>
    </row>
    <row r="107" spans="1:14" x14ac:dyDescent="0.25">
      <c r="A107" s="19">
        <v>106</v>
      </c>
      <c r="B107" s="19" t="s">
        <v>59</v>
      </c>
      <c r="C107" s="19" t="s">
        <v>39</v>
      </c>
      <c r="D107" s="19" t="s">
        <v>30</v>
      </c>
      <c r="E107" s="19" t="s">
        <v>36</v>
      </c>
      <c r="F107" s="19" t="s">
        <v>24</v>
      </c>
      <c r="G107" s="19" t="s">
        <v>25</v>
      </c>
      <c r="H107" s="19">
        <v>31</v>
      </c>
      <c r="I107" s="20">
        <v>30</v>
      </c>
      <c r="J107" s="20">
        <f t="shared" si="3"/>
        <v>930</v>
      </c>
      <c r="K107" s="20">
        <f>J107*0.429</f>
        <v>398.96999999999997</v>
      </c>
      <c r="L107" s="20">
        <f t="shared" si="4"/>
        <v>531.03</v>
      </c>
      <c r="M107" s="21">
        <f t="shared" si="5"/>
        <v>0.57099999999999995</v>
      </c>
      <c r="N107" s="19">
        <v>4.5999999999999996</v>
      </c>
    </row>
    <row r="108" spans="1:14" x14ac:dyDescent="0.25">
      <c r="A108" s="16">
        <v>107</v>
      </c>
      <c r="B108" s="16" t="s">
        <v>59</v>
      </c>
      <c r="C108" s="16" t="s">
        <v>33</v>
      </c>
      <c r="D108" s="16" t="s">
        <v>16</v>
      </c>
      <c r="E108" s="16" t="s">
        <v>36</v>
      </c>
      <c r="F108" s="16" t="s">
        <v>24</v>
      </c>
      <c r="G108" s="16" t="s">
        <v>37</v>
      </c>
      <c r="H108" s="16">
        <v>56</v>
      </c>
      <c r="I108" s="17">
        <v>30</v>
      </c>
      <c r="J108" s="17">
        <f t="shared" si="3"/>
        <v>1680</v>
      </c>
      <c r="K108" s="17">
        <f>J108*0.44</f>
        <v>739.2</v>
      </c>
      <c r="L108" s="17">
        <f t="shared" si="4"/>
        <v>940.8</v>
      </c>
      <c r="M108" s="18">
        <f t="shared" si="5"/>
        <v>0.55999999999999994</v>
      </c>
      <c r="N108" s="16">
        <v>4.7</v>
      </c>
    </row>
    <row r="109" spans="1:14" x14ac:dyDescent="0.25">
      <c r="A109" s="19">
        <v>108</v>
      </c>
      <c r="B109" s="19" t="s">
        <v>59</v>
      </c>
      <c r="C109" s="19" t="s">
        <v>20</v>
      </c>
      <c r="D109" s="19" t="s">
        <v>26</v>
      </c>
      <c r="E109" s="19" t="s">
        <v>36</v>
      </c>
      <c r="F109" s="19" t="s">
        <v>41</v>
      </c>
      <c r="G109" s="19" t="s">
        <v>48</v>
      </c>
      <c r="H109" s="19">
        <v>29</v>
      </c>
      <c r="I109" s="20">
        <v>130</v>
      </c>
      <c r="J109" s="20">
        <f t="shared" si="3"/>
        <v>3770</v>
      </c>
      <c r="K109" s="20">
        <f>J109*0.405</f>
        <v>1526.8500000000001</v>
      </c>
      <c r="L109" s="20">
        <f t="shared" si="4"/>
        <v>2243.1499999999996</v>
      </c>
      <c r="M109" s="21">
        <f t="shared" si="5"/>
        <v>0.59499999999999986</v>
      </c>
      <c r="N109" s="19">
        <v>3.7</v>
      </c>
    </row>
    <row r="110" spans="1:14" x14ac:dyDescent="0.25">
      <c r="A110" s="16">
        <v>109</v>
      </c>
      <c r="B110" s="16" t="s">
        <v>59</v>
      </c>
      <c r="C110" s="16" t="s">
        <v>20</v>
      </c>
      <c r="D110" s="16" t="s">
        <v>26</v>
      </c>
      <c r="E110" s="16" t="s">
        <v>21</v>
      </c>
      <c r="F110" s="16" t="s">
        <v>18</v>
      </c>
      <c r="G110" s="16" t="s">
        <v>38</v>
      </c>
      <c r="H110" s="16">
        <v>48</v>
      </c>
      <c r="I110" s="17">
        <v>45</v>
      </c>
      <c r="J110" s="17">
        <f t="shared" si="3"/>
        <v>2160</v>
      </c>
      <c r="K110" s="17">
        <f>J110*0.359</f>
        <v>775.43999999999994</v>
      </c>
      <c r="L110" s="17">
        <f t="shared" si="4"/>
        <v>1384.56</v>
      </c>
      <c r="M110" s="18">
        <f t="shared" si="5"/>
        <v>0.64100000000000001</v>
      </c>
      <c r="N110" s="16">
        <v>4.5999999999999996</v>
      </c>
    </row>
    <row r="111" spans="1:14" x14ac:dyDescent="0.25">
      <c r="A111" s="19">
        <v>110</v>
      </c>
      <c r="B111" s="19" t="s">
        <v>59</v>
      </c>
      <c r="C111" s="19" t="s">
        <v>43</v>
      </c>
      <c r="D111" s="19" t="s">
        <v>30</v>
      </c>
      <c r="E111" s="19" t="s">
        <v>49</v>
      </c>
      <c r="F111" s="19" t="s">
        <v>22</v>
      </c>
      <c r="G111" s="19" t="s">
        <v>45</v>
      </c>
      <c r="H111" s="19">
        <v>38</v>
      </c>
      <c r="I111" s="20">
        <v>20</v>
      </c>
      <c r="J111" s="20">
        <f t="shared" si="3"/>
        <v>760</v>
      </c>
      <c r="K111" s="20">
        <f>J111*0.446</f>
        <v>338.96</v>
      </c>
      <c r="L111" s="20">
        <f t="shared" si="4"/>
        <v>421.04</v>
      </c>
      <c r="M111" s="21">
        <f t="shared" si="5"/>
        <v>0.55400000000000005</v>
      </c>
      <c r="N111" s="19">
        <v>3.4</v>
      </c>
    </row>
    <row r="112" spans="1:14" x14ac:dyDescent="0.25">
      <c r="A112" s="16">
        <v>111</v>
      </c>
      <c r="B112" s="16" t="s">
        <v>59</v>
      </c>
      <c r="C112" s="16" t="s">
        <v>29</v>
      </c>
      <c r="D112" s="16" t="s">
        <v>26</v>
      </c>
      <c r="E112" s="16" t="s">
        <v>21</v>
      </c>
      <c r="F112" s="16" t="s">
        <v>24</v>
      </c>
      <c r="G112" s="16" t="s">
        <v>32</v>
      </c>
      <c r="H112" s="16">
        <v>64</v>
      </c>
      <c r="I112" s="17">
        <v>35</v>
      </c>
      <c r="J112" s="17">
        <f t="shared" si="3"/>
        <v>2240</v>
      </c>
      <c r="K112" s="17">
        <f>J112*0.37</f>
        <v>828.8</v>
      </c>
      <c r="L112" s="17">
        <f t="shared" si="4"/>
        <v>1411.2</v>
      </c>
      <c r="M112" s="18">
        <f t="shared" si="5"/>
        <v>0.63</v>
      </c>
      <c r="N112" s="16">
        <v>5</v>
      </c>
    </row>
    <row r="113" spans="1:14" x14ac:dyDescent="0.25">
      <c r="A113" s="19">
        <v>112</v>
      </c>
      <c r="B113" s="19" t="s">
        <v>59</v>
      </c>
      <c r="C113" s="19" t="s">
        <v>20</v>
      </c>
      <c r="D113" s="19" t="s">
        <v>16</v>
      </c>
      <c r="E113" s="19" t="s">
        <v>17</v>
      </c>
      <c r="F113" s="19" t="s">
        <v>22</v>
      </c>
      <c r="G113" s="19" t="s">
        <v>45</v>
      </c>
      <c r="H113" s="19">
        <v>13</v>
      </c>
      <c r="I113" s="20">
        <v>20</v>
      </c>
      <c r="J113" s="20">
        <f t="shared" si="3"/>
        <v>260</v>
      </c>
      <c r="K113" s="20">
        <f>J113*0.433</f>
        <v>112.58</v>
      </c>
      <c r="L113" s="20">
        <f t="shared" si="4"/>
        <v>147.42000000000002</v>
      </c>
      <c r="M113" s="21">
        <f t="shared" si="5"/>
        <v>0.56700000000000006</v>
      </c>
      <c r="N113" s="19">
        <v>2.5</v>
      </c>
    </row>
    <row r="114" spans="1:14" x14ac:dyDescent="0.25">
      <c r="A114" s="16">
        <v>113</v>
      </c>
      <c r="B114" s="16" t="s">
        <v>59</v>
      </c>
      <c r="C114" s="16" t="s">
        <v>15</v>
      </c>
      <c r="D114" s="16" t="s">
        <v>26</v>
      </c>
      <c r="E114" s="16" t="s">
        <v>21</v>
      </c>
      <c r="F114" s="16" t="s">
        <v>22</v>
      </c>
      <c r="G114" s="16" t="s">
        <v>55</v>
      </c>
      <c r="H114" s="16">
        <v>28</v>
      </c>
      <c r="I114" s="17">
        <v>35</v>
      </c>
      <c r="J114" s="17">
        <f t="shared" si="3"/>
        <v>980</v>
      </c>
      <c r="K114" s="17">
        <f>J114*0.508</f>
        <v>497.84000000000003</v>
      </c>
      <c r="L114" s="17">
        <f t="shared" si="4"/>
        <v>482.15999999999997</v>
      </c>
      <c r="M114" s="18">
        <f t="shared" si="5"/>
        <v>0.49199999999999999</v>
      </c>
      <c r="N114" s="16">
        <v>2.8</v>
      </c>
    </row>
    <row r="115" spans="1:14" x14ac:dyDescent="0.25">
      <c r="A115" s="19">
        <v>114</v>
      </c>
      <c r="B115" s="19" t="s">
        <v>59</v>
      </c>
      <c r="C115" s="19" t="s">
        <v>33</v>
      </c>
      <c r="D115" s="19" t="s">
        <v>30</v>
      </c>
      <c r="E115" s="19" t="s">
        <v>31</v>
      </c>
      <c r="F115" s="19" t="s">
        <v>41</v>
      </c>
      <c r="G115" s="19" t="s">
        <v>56</v>
      </c>
      <c r="H115" s="19">
        <v>59</v>
      </c>
      <c r="I115" s="20">
        <v>85</v>
      </c>
      <c r="J115" s="20">
        <f t="shared" si="3"/>
        <v>5015</v>
      </c>
      <c r="K115" s="20">
        <f>J115*0.516</f>
        <v>2587.7400000000002</v>
      </c>
      <c r="L115" s="20">
        <f t="shared" si="4"/>
        <v>2427.2599999999998</v>
      </c>
      <c r="M115" s="21">
        <f t="shared" si="5"/>
        <v>0.48399999999999993</v>
      </c>
      <c r="N115" s="19">
        <v>4.7</v>
      </c>
    </row>
    <row r="116" spans="1:14" x14ac:dyDescent="0.25">
      <c r="A116" s="16">
        <v>115</v>
      </c>
      <c r="B116" s="16" t="s">
        <v>59</v>
      </c>
      <c r="C116" s="16" t="s">
        <v>15</v>
      </c>
      <c r="D116" s="16" t="s">
        <v>30</v>
      </c>
      <c r="E116" s="16" t="s">
        <v>49</v>
      </c>
      <c r="F116" s="16" t="s">
        <v>27</v>
      </c>
      <c r="G116" s="16" t="s">
        <v>52</v>
      </c>
      <c r="H116" s="16">
        <v>13</v>
      </c>
      <c r="I116" s="17">
        <v>35</v>
      </c>
      <c r="J116" s="17">
        <f t="shared" si="3"/>
        <v>455</v>
      </c>
      <c r="K116" s="17">
        <f>J116*0.391</f>
        <v>177.905</v>
      </c>
      <c r="L116" s="17">
        <f t="shared" si="4"/>
        <v>277.09500000000003</v>
      </c>
      <c r="M116" s="18">
        <f t="shared" si="5"/>
        <v>0.6090000000000001</v>
      </c>
      <c r="N116" s="16">
        <v>3.3</v>
      </c>
    </row>
    <row r="117" spans="1:14" x14ac:dyDescent="0.25">
      <c r="A117" s="19">
        <v>116</v>
      </c>
      <c r="B117" s="19" t="s">
        <v>59</v>
      </c>
      <c r="C117" s="19" t="s">
        <v>39</v>
      </c>
      <c r="D117" s="19" t="s">
        <v>26</v>
      </c>
      <c r="E117" s="19" t="s">
        <v>49</v>
      </c>
      <c r="F117" s="19" t="s">
        <v>27</v>
      </c>
      <c r="G117" s="19" t="s">
        <v>47</v>
      </c>
      <c r="H117" s="19">
        <v>64</v>
      </c>
      <c r="I117" s="20">
        <v>70</v>
      </c>
      <c r="J117" s="20">
        <f t="shared" si="3"/>
        <v>4480</v>
      </c>
      <c r="K117" s="20">
        <f>J117*0.438</f>
        <v>1962.24</v>
      </c>
      <c r="L117" s="20">
        <f t="shared" si="4"/>
        <v>2517.7600000000002</v>
      </c>
      <c r="M117" s="21">
        <f t="shared" si="5"/>
        <v>0.56200000000000006</v>
      </c>
      <c r="N117" s="19">
        <v>4.3</v>
      </c>
    </row>
    <row r="118" spans="1:14" x14ac:dyDescent="0.25">
      <c r="A118" s="16">
        <v>117</v>
      </c>
      <c r="B118" s="16" t="s">
        <v>59</v>
      </c>
      <c r="C118" s="16" t="s">
        <v>20</v>
      </c>
      <c r="D118" s="16" t="s">
        <v>26</v>
      </c>
      <c r="E118" s="16" t="s">
        <v>17</v>
      </c>
      <c r="F118" s="16" t="s">
        <v>27</v>
      </c>
      <c r="G118" s="16" t="s">
        <v>51</v>
      </c>
      <c r="H118" s="16">
        <v>38</v>
      </c>
      <c r="I118" s="17">
        <v>55</v>
      </c>
      <c r="J118" s="17">
        <f t="shared" si="3"/>
        <v>2090</v>
      </c>
      <c r="K118" s="17">
        <f>J118*0.433</f>
        <v>904.97</v>
      </c>
      <c r="L118" s="17">
        <f t="shared" si="4"/>
        <v>1185.03</v>
      </c>
      <c r="M118" s="18">
        <f t="shared" si="5"/>
        <v>0.56699999999999995</v>
      </c>
      <c r="N118" s="16">
        <v>3.8</v>
      </c>
    </row>
    <row r="119" spans="1:14" x14ac:dyDescent="0.25">
      <c r="A119" s="19">
        <v>118</v>
      </c>
      <c r="B119" s="19" t="s">
        <v>59</v>
      </c>
      <c r="C119" s="19" t="s">
        <v>43</v>
      </c>
      <c r="D119" s="19" t="s">
        <v>30</v>
      </c>
      <c r="E119" s="19" t="s">
        <v>17</v>
      </c>
      <c r="F119" s="19" t="s">
        <v>18</v>
      </c>
      <c r="G119" s="19" t="s">
        <v>34</v>
      </c>
      <c r="H119" s="19">
        <v>24</v>
      </c>
      <c r="I119" s="20">
        <v>55</v>
      </c>
      <c r="J119" s="20">
        <f t="shared" si="3"/>
        <v>1320</v>
      </c>
      <c r="K119" s="20">
        <f>J119*0.367</f>
        <v>484.44</v>
      </c>
      <c r="L119" s="20">
        <f t="shared" si="4"/>
        <v>835.56</v>
      </c>
      <c r="M119" s="21">
        <f t="shared" si="5"/>
        <v>0.63300000000000001</v>
      </c>
      <c r="N119" s="19">
        <v>3.9</v>
      </c>
    </row>
    <row r="120" spans="1:14" x14ac:dyDescent="0.25">
      <c r="A120" s="16">
        <v>119</v>
      </c>
      <c r="B120" s="16" t="s">
        <v>59</v>
      </c>
      <c r="C120" s="16" t="s">
        <v>29</v>
      </c>
      <c r="D120" s="16" t="s">
        <v>30</v>
      </c>
      <c r="E120" s="16" t="s">
        <v>21</v>
      </c>
      <c r="F120" s="16" t="s">
        <v>27</v>
      </c>
      <c r="G120" s="16" t="s">
        <v>52</v>
      </c>
      <c r="H120" s="16">
        <v>49</v>
      </c>
      <c r="I120" s="17">
        <v>35</v>
      </c>
      <c r="J120" s="17">
        <f t="shared" si="3"/>
        <v>1715</v>
      </c>
      <c r="K120" s="17">
        <f>J120*0.428</f>
        <v>734.02</v>
      </c>
      <c r="L120" s="17">
        <f t="shared" si="4"/>
        <v>980.98</v>
      </c>
      <c r="M120" s="18">
        <f t="shared" si="5"/>
        <v>0.57200000000000006</v>
      </c>
      <c r="N120" s="16">
        <v>4.9000000000000004</v>
      </c>
    </row>
    <row r="121" spans="1:14" x14ac:dyDescent="0.25">
      <c r="A121" s="19">
        <v>120</v>
      </c>
      <c r="B121" s="19" t="s">
        <v>59</v>
      </c>
      <c r="C121" s="19" t="s">
        <v>33</v>
      </c>
      <c r="D121" s="19" t="s">
        <v>16</v>
      </c>
      <c r="E121" s="19" t="s">
        <v>49</v>
      </c>
      <c r="F121" s="19" t="s">
        <v>27</v>
      </c>
      <c r="G121" s="19" t="s">
        <v>28</v>
      </c>
      <c r="H121" s="19">
        <v>69</v>
      </c>
      <c r="I121" s="20">
        <v>45</v>
      </c>
      <c r="J121" s="20">
        <f t="shared" si="3"/>
        <v>3105</v>
      </c>
      <c r="K121" s="20">
        <f>J121*0.416</f>
        <v>1291.6799999999998</v>
      </c>
      <c r="L121" s="20">
        <f t="shared" si="4"/>
        <v>1813.3200000000002</v>
      </c>
      <c r="M121" s="21">
        <f t="shared" si="5"/>
        <v>0.58400000000000007</v>
      </c>
      <c r="N121" s="19">
        <v>4.4000000000000004</v>
      </c>
    </row>
    <row r="122" spans="1:14" x14ac:dyDescent="0.25">
      <c r="A122" s="16">
        <v>121</v>
      </c>
      <c r="B122" s="16" t="s">
        <v>60</v>
      </c>
      <c r="C122" s="16" t="s">
        <v>33</v>
      </c>
      <c r="D122" s="16" t="s">
        <v>16</v>
      </c>
      <c r="E122" s="16" t="s">
        <v>17</v>
      </c>
      <c r="F122" s="16" t="s">
        <v>41</v>
      </c>
      <c r="G122" s="16" t="s">
        <v>42</v>
      </c>
      <c r="H122" s="16">
        <v>15</v>
      </c>
      <c r="I122" s="17">
        <v>95</v>
      </c>
      <c r="J122" s="17">
        <f t="shared" si="3"/>
        <v>1425</v>
      </c>
      <c r="K122" s="17">
        <f>J122*0.398</f>
        <v>567.15</v>
      </c>
      <c r="L122" s="17">
        <f t="shared" si="4"/>
        <v>857.85</v>
      </c>
      <c r="M122" s="18">
        <f t="shared" si="5"/>
        <v>0.60199999999999998</v>
      </c>
      <c r="N122" s="16">
        <v>3.3</v>
      </c>
    </row>
    <row r="123" spans="1:14" x14ac:dyDescent="0.25">
      <c r="A123" s="19">
        <v>122</v>
      </c>
      <c r="B123" s="19" t="s">
        <v>60</v>
      </c>
      <c r="C123" s="19" t="s">
        <v>35</v>
      </c>
      <c r="D123" s="19" t="s">
        <v>26</v>
      </c>
      <c r="E123" s="19" t="s">
        <v>21</v>
      </c>
      <c r="F123" s="19" t="s">
        <v>41</v>
      </c>
      <c r="G123" s="19" t="s">
        <v>42</v>
      </c>
      <c r="H123" s="19">
        <v>7</v>
      </c>
      <c r="I123" s="20">
        <v>95</v>
      </c>
      <c r="J123" s="20">
        <f t="shared" si="3"/>
        <v>665</v>
      </c>
      <c r="K123" s="20">
        <f>J123*0.392</f>
        <v>260.68</v>
      </c>
      <c r="L123" s="20">
        <f t="shared" si="4"/>
        <v>404.32</v>
      </c>
      <c r="M123" s="21">
        <f t="shared" si="5"/>
        <v>0.60799999999999998</v>
      </c>
      <c r="N123" s="19">
        <v>3.7</v>
      </c>
    </row>
    <row r="124" spans="1:14" x14ac:dyDescent="0.25">
      <c r="A124" s="16">
        <v>123</v>
      </c>
      <c r="B124" s="16" t="s">
        <v>60</v>
      </c>
      <c r="C124" s="16" t="s">
        <v>33</v>
      </c>
      <c r="D124" s="16" t="s">
        <v>16</v>
      </c>
      <c r="E124" s="16" t="s">
        <v>49</v>
      </c>
      <c r="F124" s="16" t="s">
        <v>41</v>
      </c>
      <c r="G124" s="16" t="s">
        <v>50</v>
      </c>
      <c r="H124" s="16">
        <v>9</v>
      </c>
      <c r="I124" s="17">
        <v>110</v>
      </c>
      <c r="J124" s="17">
        <f t="shared" si="3"/>
        <v>990</v>
      </c>
      <c r="K124" s="17">
        <f>J124*0.41</f>
        <v>405.9</v>
      </c>
      <c r="L124" s="17">
        <f t="shared" si="4"/>
        <v>584.1</v>
      </c>
      <c r="M124" s="18">
        <f t="shared" si="5"/>
        <v>0.59</v>
      </c>
      <c r="N124" s="16">
        <v>3.2</v>
      </c>
    </row>
    <row r="125" spans="1:14" x14ac:dyDescent="0.25">
      <c r="A125" s="19">
        <v>124</v>
      </c>
      <c r="B125" s="19" t="s">
        <v>60</v>
      </c>
      <c r="C125" s="19" t="s">
        <v>43</v>
      </c>
      <c r="D125" s="19" t="s">
        <v>26</v>
      </c>
      <c r="E125" s="19" t="s">
        <v>31</v>
      </c>
      <c r="F125" s="19" t="s">
        <v>27</v>
      </c>
      <c r="G125" s="19" t="s">
        <v>28</v>
      </c>
      <c r="H125" s="19">
        <v>17</v>
      </c>
      <c r="I125" s="20">
        <v>45</v>
      </c>
      <c r="J125" s="20">
        <f t="shared" si="3"/>
        <v>765</v>
      </c>
      <c r="K125" s="20">
        <f>J125*0.357</f>
        <v>273.10499999999996</v>
      </c>
      <c r="L125" s="20">
        <f t="shared" si="4"/>
        <v>491.89500000000004</v>
      </c>
      <c r="M125" s="21">
        <f t="shared" si="5"/>
        <v>0.64300000000000002</v>
      </c>
      <c r="N125" s="19">
        <v>3.1</v>
      </c>
    </row>
    <row r="126" spans="1:14" x14ac:dyDescent="0.25">
      <c r="A126" s="16">
        <v>125</v>
      </c>
      <c r="B126" s="16" t="s">
        <v>60</v>
      </c>
      <c r="C126" s="16" t="s">
        <v>33</v>
      </c>
      <c r="D126" s="16" t="s">
        <v>16</v>
      </c>
      <c r="E126" s="16" t="s">
        <v>49</v>
      </c>
      <c r="F126" s="16" t="s">
        <v>27</v>
      </c>
      <c r="G126" s="16" t="s">
        <v>52</v>
      </c>
      <c r="H126" s="16">
        <v>66</v>
      </c>
      <c r="I126" s="17">
        <v>35</v>
      </c>
      <c r="J126" s="17">
        <f t="shared" si="3"/>
        <v>2310</v>
      </c>
      <c r="K126" s="17">
        <f>J126*0.371</f>
        <v>857.01</v>
      </c>
      <c r="L126" s="17">
        <f t="shared" si="4"/>
        <v>1452.99</v>
      </c>
      <c r="M126" s="18">
        <f t="shared" si="5"/>
        <v>0.629</v>
      </c>
      <c r="N126" s="16">
        <v>2.9</v>
      </c>
    </row>
    <row r="127" spans="1:14" x14ac:dyDescent="0.25">
      <c r="A127" s="19">
        <v>126</v>
      </c>
      <c r="B127" s="19" t="s">
        <v>60</v>
      </c>
      <c r="C127" s="19" t="s">
        <v>43</v>
      </c>
      <c r="D127" s="19" t="s">
        <v>16</v>
      </c>
      <c r="E127" s="19" t="s">
        <v>17</v>
      </c>
      <c r="F127" s="19" t="s">
        <v>24</v>
      </c>
      <c r="G127" s="19" t="s">
        <v>25</v>
      </c>
      <c r="H127" s="19">
        <v>10</v>
      </c>
      <c r="I127" s="20">
        <v>30</v>
      </c>
      <c r="J127" s="20">
        <f t="shared" si="3"/>
        <v>300</v>
      </c>
      <c r="K127" s="20">
        <f>J127*0.477</f>
        <v>143.1</v>
      </c>
      <c r="L127" s="20">
        <f t="shared" si="4"/>
        <v>156.9</v>
      </c>
      <c r="M127" s="21">
        <f t="shared" si="5"/>
        <v>0.52300000000000002</v>
      </c>
      <c r="N127" s="19">
        <v>3.2</v>
      </c>
    </row>
    <row r="128" spans="1:14" x14ac:dyDescent="0.25">
      <c r="A128" s="16">
        <v>127</v>
      </c>
      <c r="B128" s="16" t="s">
        <v>60</v>
      </c>
      <c r="C128" s="16" t="s">
        <v>35</v>
      </c>
      <c r="D128" s="16" t="s">
        <v>26</v>
      </c>
      <c r="E128" s="16" t="s">
        <v>31</v>
      </c>
      <c r="F128" s="16" t="s">
        <v>27</v>
      </c>
      <c r="G128" s="16" t="s">
        <v>52</v>
      </c>
      <c r="H128" s="16">
        <v>34</v>
      </c>
      <c r="I128" s="17">
        <v>35</v>
      </c>
      <c r="J128" s="17">
        <f t="shared" si="3"/>
        <v>1190</v>
      </c>
      <c r="K128" s="17">
        <f>J128*0.415</f>
        <v>493.84999999999997</v>
      </c>
      <c r="L128" s="17">
        <f t="shared" si="4"/>
        <v>696.15000000000009</v>
      </c>
      <c r="M128" s="18">
        <f t="shared" si="5"/>
        <v>0.58500000000000008</v>
      </c>
      <c r="N128" s="16">
        <v>3.9</v>
      </c>
    </row>
    <row r="129" spans="1:14" x14ac:dyDescent="0.25">
      <c r="A129" s="19">
        <v>128</v>
      </c>
      <c r="B129" s="19" t="s">
        <v>60</v>
      </c>
      <c r="C129" s="19" t="s">
        <v>35</v>
      </c>
      <c r="D129" s="19" t="s">
        <v>30</v>
      </c>
      <c r="E129" s="19" t="s">
        <v>49</v>
      </c>
      <c r="F129" s="19" t="s">
        <v>27</v>
      </c>
      <c r="G129" s="19" t="s">
        <v>51</v>
      </c>
      <c r="H129" s="19">
        <v>10</v>
      </c>
      <c r="I129" s="20">
        <v>55</v>
      </c>
      <c r="J129" s="20">
        <f t="shared" si="3"/>
        <v>550</v>
      </c>
      <c r="K129" s="20">
        <f>J129*0.534</f>
        <v>293.7</v>
      </c>
      <c r="L129" s="20">
        <f t="shared" si="4"/>
        <v>256.3</v>
      </c>
      <c r="M129" s="21">
        <f t="shared" si="5"/>
        <v>0.46600000000000003</v>
      </c>
      <c r="N129" s="19">
        <v>3</v>
      </c>
    </row>
    <row r="130" spans="1:14" x14ac:dyDescent="0.25">
      <c r="A130" s="16">
        <v>129</v>
      </c>
      <c r="B130" s="16" t="s">
        <v>60</v>
      </c>
      <c r="C130" s="16" t="s">
        <v>39</v>
      </c>
      <c r="D130" s="16" t="s">
        <v>16</v>
      </c>
      <c r="E130" s="16" t="s">
        <v>31</v>
      </c>
      <c r="F130" s="16" t="s">
        <v>27</v>
      </c>
      <c r="G130" s="16" t="s">
        <v>28</v>
      </c>
      <c r="H130" s="16">
        <v>37</v>
      </c>
      <c r="I130" s="17">
        <v>45</v>
      </c>
      <c r="J130" s="17">
        <f t="shared" ref="J130:J193" si="6">H130*I130</f>
        <v>1665</v>
      </c>
      <c r="K130" s="17">
        <f>J130*0.486</f>
        <v>809.18999999999994</v>
      </c>
      <c r="L130" s="17">
        <f t="shared" ref="L130:L193" si="7">J130-K130</f>
        <v>855.81000000000006</v>
      </c>
      <c r="M130" s="18">
        <f t="shared" ref="M130:M193" si="8">IF(J130=0,0,L130/J130)</f>
        <v>0.51400000000000001</v>
      </c>
      <c r="N130" s="16">
        <v>2.6</v>
      </c>
    </row>
    <row r="131" spans="1:14" x14ac:dyDescent="0.25">
      <c r="A131" s="19">
        <v>130</v>
      </c>
      <c r="B131" s="19" t="s">
        <v>60</v>
      </c>
      <c r="C131" s="19" t="s">
        <v>29</v>
      </c>
      <c r="D131" s="19" t="s">
        <v>30</v>
      </c>
      <c r="E131" s="19" t="s">
        <v>49</v>
      </c>
      <c r="F131" s="19" t="s">
        <v>18</v>
      </c>
      <c r="G131" s="19" t="s">
        <v>34</v>
      </c>
      <c r="H131" s="19">
        <v>17</v>
      </c>
      <c r="I131" s="20">
        <v>55</v>
      </c>
      <c r="J131" s="20">
        <f t="shared" si="6"/>
        <v>935</v>
      </c>
      <c r="K131" s="20">
        <f>J131*0.473</f>
        <v>442.255</v>
      </c>
      <c r="L131" s="20">
        <f t="shared" si="7"/>
        <v>492.745</v>
      </c>
      <c r="M131" s="21">
        <f t="shared" si="8"/>
        <v>0.52700000000000002</v>
      </c>
      <c r="N131" s="19">
        <v>4.8</v>
      </c>
    </row>
    <row r="132" spans="1:14" x14ac:dyDescent="0.25">
      <c r="A132" s="16">
        <v>131</v>
      </c>
      <c r="B132" s="16" t="s">
        <v>60</v>
      </c>
      <c r="C132" s="16" t="s">
        <v>39</v>
      </c>
      <c r="D132" s="16" t="s">
        <v>30</v>
      </c>
      <c r="E132" s="16" t="s">
        <v>17</v>
      </c>
      <c r="F132" s="16" t="s">
        <v>18</v>
      </c>
      <c r="G132" s="16" t="s">
        <v>34</v>
      </c>
      <c r="H132" s="16">
        <v>80</v>
      </c>
      <c r="I132" s="17">
        <v>55</v>
      </c>
      <c r="J132" s="17">
        <f t="shared" si="6"/>
        <v>4400</v>
      </c>
      <c r="K132" s="17">
        <f>J132*0.529</f>
        <v>2327.6</v>
      </c>
      <c r="L132" s="17">
        <f t="shared" si="7"/>
        <v>2072.4</v>
      </c>
      <c r="M132" s="18">
        <f t="shared" si="8"/>
        <v>0.47100000000000003</v>
      </c>
      <c r="N132" s="16">
        <v>2.8</v>
      </c>
    </row>
    <row r="133" spans="1:14" x14ac:dyDescent="0.25">
      <c r="A133" s="19">
        <v>132</v>
      </c>
      <c r="B133" s="19" t="s">
        <v>60</v>
      </c>
      <c r="C133" s="19" t="s">
        <v>43</v>
      </c>
      <c r="D133" s="19" t="s">
        <v>26</v>
      </c>
      <c r="E133" s="19" t="s">
        <v>17</v>
      </c>
      <c r="F133" s="19" t="s">
        <v>22</v>
      </c>
      <c r="G133" s="19" t="s">
        <v>40</v>
      </c>
      <c r="H133" s="19">
        <v>54</v>
      </c>
      <c r="I133" s="20">
        <v>30</v>
      </c>
      <c r="J133" s="20">
        <f t="shared" si="6"/>
        <v>1620</v>
      </c>
      <c r="K133" s="20">
        <f>J133*0.457</f>
        <v>740.34</v>
      </c>
      <c r="L133" s="20">
        <f t="shared" si="7"/>
        <v>879.66</v>
      </c>
      <c r="M133" s="21">
        <f t="shared" si="8"/>
        <v>0.54299999999999993</v>
      </c>
      <c r="N133" s="19">
        <v>3.5</v>
      </c>
    </row>
    <row r="134" spans="1:14" x14ac:dyDescent="0.25">
      <c r="A134" s="16">
        <v>133</v>
      </c>
      <c r="B134" s="16" t="s">
        <v>60</v>
      </c>
      <c r="C134" s="16" t="s">
        <v>20</v>
      </c>
      <c r="D134" s="16" t="s">
        <v>26</v>
      </c>
      <c r="E134" s="16" t="s">
        <v>21</v>
      </c>
      <c r="F134" s="16" t="s">
        <v>22</v>
      </c>
      <c r="G134" s="16" t="s">
        <v>23</v>
      </c>
      <c r="H134" s="16">
        <v>26</v>
      </c>
      <c r="I134" s="17">
        <v>25</v>
      </c>
      <c r="J134" s="17">
        <f t="shared" si="6"/>
        <v>650</v>
      </c>
      <c r="K134" s="17">
        <f>J134*0.453</f>
        <v>294.45</v>
      </c>
      <c r="L134" s="17">
        <f t="shared" si="7"/>
        <v>355.55</v>
      </c>
      <c r="M134" s="18">
        <f t="shared" si="8"/>
        <v>0.54700000000000004</v>
      </c>
      <c r="N134" s="16">
        <v>3.1</v>
      </c>
    </row>
    <row r="135" spans="1:14" x14ac:dyDescent="0.25">
      <c r="A135" s="19">
        <v>134</v>
      </c>
      <c r="B135" s="19" t="s">
        <v>60</v>
      </c>
      <c r="C135" s="19" t="s">
        <v>43</v>
      </c>
      <c r="D135" s="19" t="s">
        <v>16</v>
      </c>
      <c r="E135" s="19" t="s">
        <v>36</v>
      </c>
      <c r="F135" s="19" t="s">
        <v>22</v>
      </c>
      <c r="G135" s="19" t="s">
        <v>45</v>
      </c>
      <c r="H135" s="19">
        <v>10</v>
      </c>
      <c r="I135" s="20">
        <v>20</v>
      </c>
      <c r="J135" s="20">
        <f t="shared" si="6"/>
        <v>200</v>
      </c>
      <c r="K135" s="20">
        <f>J135*0.418</f>
        <v>83.6</v>
      </c>
      <c r="L135" s="20">
        <f t="shared" si="7"/>
        <v>116.4</v>
      </c>
      <c r="M135" s="21">
        <f t="shared" si="8"/>
        <v>0.58200000000000007</v>
      </c>
      <c r="N135" s="19">
        <v>5</v>
      </c>
    </row>
    <row r="136" spans="1:14" x14ac:dyDescent="0.25">
      <c r="A136" s="16">
        <v>135</v>
      </c>
      <c r="B136" s="16" t="s">
        <v>60</v>
      </c>
      <c r="C136" s="16" t="s">
        <v>33</v>
      </c>
      <c r="D136" s="16" t="s">
        <v>30</v>
      </c>
      <c r="E136" s="16" t="s">
        <v>49</v>
      </c>
      <c r="F136" s="16" t="s">
        <v>24</v>
      </c>
      <c r="G136" s="16" t="s">
        <v>32</v>
      </c>
      <c r="H136" s="16">
        <v>48</v>
      </c>
      <c r="I136" s="17">
        <v>35</v>
      </c>
      <c r="J136" s="17">
        <f t="shared" si="6"/>
        <v>1680</v>
      </c>
      <c r="K136" s="17">
        <f>J136*0.392</f>
        <v>658.56000000000006</v>
      </c>
      <c r="L136" s="17">
        <f t="shared" si="7"/>
        <v>1021.4399999999999</v>
      </c>
      <c r="M136" s="18">
        <f t="shared" si="8"/>
        <v>0.60799999999999998</v>
      </c>
      <c r="N136" s="16">
        <v>3.4</v>
      </c>
    </row>
    <row r="137" spans="1:14" x14ac:dyDescent="0.25">
      <c r="A137" s="19">
        <v>136</v>
      </c>
      <c r="B137" s="19" t="s">
        <v>60</v>
      </c>
      <c r="C137" s="19" t="s">
        <v>43</v>
      </c>
      <c r="D137" s="19" t="s">
        <v>26</v>
      </c>
      <c r="E137" s="19" t="s">
        <v>31</v>
      </c>
      <c r="F137" s="19" t="s">
        <v>24</v>
      </c>
      <c r="G137" s="19" t="s">
        <v>32</v>
      </c>
      <c r="H137" s="19">
        <v>69</v>
      </c>
      <c r="I137" s="20">
        <v>35</v>
      </c>
      <c r="J137" s="20">
        <f t="shared" si="6"/>
        <v>2415</v>
      </c>
      <c r="K137" s="20">
        <f>J137*0.453</f>
        <v>1093.9950000000001</v>
      </c>
      <c r="L137" s="20">
        <f t="shared" si="7"/>
        <v>1321.0049999999999</v>
      </c>
      <c r="M137" s="21">
        <f t="shared" si="8"/>
        <v>0.54699999999999993</v>
      </c>
      <c r="N137" s="19">
        <v>2.9</v>
      </c>
    </row>
    <row r="138" spans="1:14" x14ac:dyDescent="0.25">
      <c r="A138" s="16">
        <v>137</v>
      </c>
      <c r="B138" s="16" t="s">
        <v>60</v>
      </c>
      <c r="C138" s="16" t="s">
        <v>43</v>
      </c>
      <c r="D138" s="16" t="s">
        <v>16</v>
      </c>
      <c r="E138" s="16" t="s">
        <v>49</v>
      </c>
      <c r="F138" s="16" t="s">
        <v>41</v>
      </c>
      <c r="G138" s="16" t="s">
        <v>42</v>
      </c>
      <c r="H138" s="16">
        <v>33</v>
      </c>
      <c r="I138" s="17">
        <v>95</v>
      </c>
      <c r="J138" s="17">
        <f t="shared" si="6"/>
        <v>3135</v>
      </c>
      <c r="K138" s="17">
        <f>J138*0.373</f>
        <v>1169.355</v>
      </c>
      <c r="L138" s="17">
        <f t="shared" si="7"/>
        <v>1965.645</v>
      </c>
      <c r="M138" s="18">
        <f t="shared" si="8"/>
        <v>0.627</v>
      </c>
      <c r="N138" s="16">
        <v>2.8</v>
      </c>
    </row>
    <row r="139" spans="1:14" x14ac:dyDescent="0.25">
      <c r="A139" s="19">
        <v>138</v>
      </c>
      <c r="B139" s="19" t="s">
        <v>60</v>
      </c>
      <c r="C139" s="19" t="s">
        <v>35</v>
      </c>
      <c r="D139" s="19" t="s">
        <v>26</v>
      </c>
      <c r="E139" s="19" t="s">
        <v>36</v>
      </c>
      <c r="F139" s="19" t="s">
        <v>22</v>
      </c>
      <c r="G139" s="19" t="s">
        <v>45</v>
      </c>
      <c r="H139" s="19">
        <v>57</v>
      </c>
      <c r="I139" s="20">
        <v>20</v>
      </c>
      <c r="J139" s="20">
        <f t="shared" si="6"/>
        <v>1140</v>
      </c>
      <c r="K139" s="20">
        <f>J139*0.492</f>
        <v>560.88</v>
      </c>
      <c r="L139" s="20">
        <f t="shared" si="7"/>
        <v>579.12</v>
      </c>
      <c r="M139" s="21">
        <f t="shared" si="8"/>
        <v>0.50800000000000001</v>
      </c>
      <c r="N139" s="19">
        <v>3.9</v>
      </c>
    </row>
    <row r="140" spans="1:14" x14ac:dyDescent="0.25">
      <c r="A140" s="16">
        <v>139</v>
      </c>
      <c r="B140" s="16" t="s">
        <v>60</v>
      </c>
      <c r="C140" s="16" t="s">
        <v>29</v>
      </c>
      <c r="D140" s="16" t="s">
        <v>16</v>
      </c>
      <c r="E140" s="16" t="s">
        <v>21</v>
      </c>
      <c r="F140" s="16" t="s">
        <v>24</v>
      </c>
      <c r="G140" s="16" t="s">
        <v>25</v>
      </c>
      <c r="H140" s="16">
        <v>10</v>
      </c>
      <c r="I140" s="17">
        <v>30</v>
      </c>
      <c r="J140" s="17">
        <f t="shared" si="6"/>
        <v>300</v>
      </c>
      <c r="K140" s="17">
        <f>J140*0.55</f>
        <v>165</v>
      </c>
      <c r="L140" s="17">
        <f t="shared" si="7"/>
        <v>135</v>
      </c>
      <c r="M140" s="18">
        <f t="shared" si="8"/>
        <v>0.45</v>
      </c>
      <c r="N140" s="16">
        <v>4.2</v>
      </c>
    </row>
    <row r="141" spans="1:14" x14ac:dyDescent="0.25">
      <c r="A141" s="19">
        <v>140</v>
      </c>
      <c r="B141" s="19" t="s">
        <v>60</v>
      </c>
      <c r="C141" s="19" t="s">
        <v>43</v>
      </c>
      <c r="D141" s="19" t="s">
        <v>16</v>
      </c>
      <c r="E141" s="19" t="s">
        <v>21</v>
      </c>
      <c r="F141" s="19" t="s">
        <v>27</v>
      </c>
      <c r="G141" s="19" t="s">
        <v>52</v>
      </c>
      <c r="H141" s="19">
        <v>72</v>
      </c>
      <c r="I141" s="20">
        <v>35</v>
      </c>
      <c r="J141" s="20">
        <f t="shared" si="6"/>
        <v>2520</v>
      </c>
      <c r="K141" s="20">
        <f>J141*0.362</f>
        <v>912.24</v>
      </c>
      <c r="L141" s="20">
        <f t="shared" si="7"/>
        <v>1607.76</v>
      </c>
      <c r="M141" s="21">
        <f t="shared" si="8"/>
        <v>0.63800000000000001</v>
      </c>
      <c r="N141" s="19">
        <v>4.2</v>
      </c>
    </row>
    <row r="142" spans="1:14" x14ac:dyDescent="0.25">
      <c r="A142" s="16">
        <v>141</v>
      </c>
      <c r="B142" s="16" t="s">
        <v>61</v>
      </c>
      <c r="C142" s="16" t="s">
        <v>15</v>
      </c>
      <c r="D142" s="16" t="s">
        <v>26</v>
      </c>
      <c r="E142" s="16" t="s">
        <v>36</v>
      </c>
      <c r="F142" s="16" t="s">
        <v>18</v>
      </c>
      <c r="G142" s="16" t="s">
        <v>54</v>
      </c>
      <c r="H142" s="16">
        <v>50</v>
      </c>
      <c r="I142" s="17">
        <v>40</v>
      </c>
      <c r="J142" s="17">
        <f t="shared" si="6"/>
        <v>2000</v>
      </c>
      <c r="K142" s="17">
        <f>J142*0.44</f>
        <v>880</v>
      </c>
      <c r="L142" s="17">
        <f t="shared" si="7"/>
        <v>1120</v>
      </c>
      <c r="M142" s="18">
        <f t="shared" si="8"/>
        <v>0.56000000000000005</v>
      </c>
      <c r="N142" s="16">
        <v>4.0999999999999996</v>
      </c>
    </row>
    <row r="143" spans="1:14" x14ac:dyDescent="0.25">
      <c r="A143" s="19">
        <v>142</v>
      </c>
      <c r="B143" s="19" t="s">
        <v>61</v>
      </c>
      <c r="C143" s="19" t="s">
        <v>15</v>
      </c>
      <c r="D143" s="19" t="s">
        <v>26</v>
      </c>
      <c r="E143" s="19" t="s">
        <v>17</v>
      </c>
      <c r="F143" s="19" t="s">
        <v>22</v>
      </c>
      <c r="G143" s="19" t="s">
        <v>40</v>
      </c>
      <c r="H143" s="19">
        <v>34</v>
      </c>
      <c r="I143" s="20">
        <v>30</v>
      </c>
      <c r="J143" s="20">
        <f t="shared" si="6"/>
        <v>1020</v>
      </c>
      <c r="K143" s="20">
        <f>J143*0.413</f>
        <v>421.26</v>
      </c>
      <c r="L143" s="20">
        <f t="shared" si="7"/>
        <v>598.74</v>
      </c>
      <c r="M143" s="21">
        <f t="shared" si="8"/>
        <v>0.58699999999999997</v>
      </c>
      <c r="N143" s="19">
        <v>4.4000000000000004</v>
      </c>
    </row>
    <row r="144" spans="1:14" x14ac:dyDescent="0.25">
      <c r="A144" s="16">
        <v>143</v>
      </c>
      <c r="B144" s="16" t="s">
        <v>61</v>
      </c>
      <c r="C144" s="16" t="s">
        <v>15</v>
      </c>
      <c r="D144" s="16" t="s">
        <v>16</v>
      </c>
      <c r="E144" s="16" t="s">
        <v>21</v>
      </c>
      <c r="F144" s="16" t="s">
        <v>18</v>
      </c>
      <c r="G144" s="16" t="s">
        <v>38</v>
      </c>
      <c r="H144" s="16">
        <v>64</v>
      </c>
      <c r="I144" s="17">
        <v>45</v>
      </c>
      <c r="J144" s="17">
        <f t="shared" si="6"/>
        <v>2880</v>
      </c>
      <c r="K144" s="17">
        <f>J144*0.428</f>
        <v>1232.6399999999999</v>
      </c>
      <c r="L144" s="17">
        <f t="shared" si="7"/>
        <v>1647.3600000000001</v>
      </c>
      <c r="M144" s="18">
        <f t="shared" si="8"/>
        <v>0.57200000000000006</v>
      </c>
      <c r="N144" s="16">
        <v>4.7</v>
      </c>
    </row>
    <row r="145" spans="1:14" x14ac:dyDescent="0.25">
      <c r="A145" s="19">
        <v>144</v>
      </c>
      <c r="B145" s="19" t="s">
        <v>61</v>
      </c>
      <c r="C145" s="19" t="s">
        <v>39</v>
      </c>
      <c r="D145" s="19" t="s">
        <v>16</v>
      </c>
      <c r="E145" s="19" t="s">
        <v>17</v>
      </c>
      <c r="F145" s="19" t="s">
        <v>27</v>
      </c>
      <c r="G145" s="19" t="s">
        <v>47</v>
      </c>
      <c r="H145" s="19">
        <v>67</v>
      </c>
      <c r="I145" s="20">
        <v>70</v>
      </c>
      <c r="J145" s="20">
        <f t="shared" si="6"/>
        <v>4690</v>
      </c>
      <c r="K145" s="20">
        <f>J145*0.369</f>
        <v>1730.61</v>
      </c>
      <c r="L145" s="20">
        <f t="shared" si="7"/>
        <v>2959.3900000000003</v>
      </c>
      <c r="M145" s="21">
        <f t="shared" si="8"/>
        <v>0.63100000000000012</v>
      </c>
      <c r="N145" s="19">
        <v>4.9000000000000004</v>
      </c>
    </row>
    <row r="146" spans="1:14" x14ac:dyDescent="0.25">
      <c r="A146" s="16">
        <v>145</v>
      </c>
      <c r="B146" s="16" t="s">
        <v>61</v>
      </c>
      <c r="C146" s="16" t="s">
        <v>20</v>
      </c>
      <c r="D146" s="16" t="s">
        <v>16</v>
      </c>
      <c r="E146" s="16" t="s">
        <v>31</v>
      </c>
      <c r="F146" s="16" t="s">
        <v>27</v>
      </c>
      <c r="G146" s="16" t="s">
        <v>47</v>
      </c>
      <c r="H146" s="16">
        <v>34</v>
      </c>
      <c r="I146" s="17">
        <v>70</v>
      </c>
      <c r="J146" s="17">
        <f t="shared" si="6"/>
        <v>2380</v>
      </c>
      <c r="K146" s="17">
        <f>J146*0.476</f>
        <v>1132.8799999999999</v>
      </c>
      <c r="L146" s="17">
        <f t="shared" si="7"/>
        <v>1247.1200000000001</v>
      </c>
      <c r="M146" s="18">
        <f t="shared" si="8"/>
        <v>0.52400000000000002</v>
      </c>
      <c r="N146" s="16">
        <v>2.7</v>
      </c>
    </row>
    <row r="147" spans="1:14" x14ac:dyDescent="0.25">
      <c r="A147" s="19">
        <v>146</v>
      </c>
      <c r="B147" s="19" t="s">
        <v>61</v>
      </c>
      <c r="C147" s="19" t="s">
        <v>43</v>
      </c>
      <c r="D147" s="19" t="s">
        <v>16</v>
      </c>
      <c r="E147" s="19" t="s">
        <v>49</v>
      </c>
      <c r="F147" s="19" t="s">
        <v>27</v>
      </c>
      <c r="G147" s="19" t="s">
        <v>28</v>
      </c>
      <c r="H147" s="19">
        <v>74</v>
      </c>
      <c r="I147" s="20">
        <v>45</v>
      </c>
      <c r="J147" s="20">
        <f t="shared" si="6"/>
        <v>3330</v>
      </c>
      <c r="K147" s="20">
        <f>J147*0.461</f>
        <v>1535.13</v>
      </c>
      <c r="L147" s="20">
        <f t="shared" si="7"/>
        <v>1794.87</v>
      </c>
      <c r="M147" s="21">
        <f t="shared" si="8"/>
        <v>0.53899999999999992</v>
      </c>
      <c r="N147" s="19">
        <v>2.6</v>
      </c>
    </row>
    <row r="148" spans="1:14" x14ac:dyDescent="0.25">
      <c r="A148" s="16">
        <v>147</v>
      </c>
      <c r="B148" s="16" t="s">
        <v>61</v>
      </c>
      <c r="C148" s="16" t="s">
        <v>33</v>
      </c>
      <c r="D148" s="16" t="s">
        <v>26</v>
      </c>
      <c r="E148" s="16" t="s">
        <v>21</v>
      </c>
      <c r="F148" s="16" t="s">
        <v>18</v>
      </c>
      <c r="G148" s="16" t="s">
        <v>34</v>
      </c>
      <c r="H148" s="16">
        <v>10</v>
      </c>
      <c r="I148" s="17">
        <v>55</v>
      </c>
      <c r="J148" s="17">
        <f t="shared" si="6"/>
        <v>550</v>
      </c>
      <c r="K148" s="17">
        <f>J148*0.541</f>
        <v>297.55</v>
      </c>
      <c r="L148" s="17">
        <f t="shared" si="7"/>
        <v>252.45</v>
      </c>
      <c r="M148" s="18">
        <f t="shared" si="8"/>
        <v>0.45899999999999996</v>
      </c>
      <c r="N148" s="16">
        <v>4.2</v>
      </c>
    </row>
    <row r="149" spans="1:14" x14ac:dyDescent="0.25">
      <c r="A149" s="19">
        <v>148</v>
      </c>
      <c r="B149" s="19" t="s">
        <v>61</v>
      </c>
      <c r="C149" s="19" t="s">
        <v>35</v>
      </c>
      <c r="D149" s="19" t="s">
        <v>30</v>
      </c>
      <c r="E149" s="19" t="s">
        <v>31</v>
      </c>
      <c r="F149" s="19" t="s">
        <v>18</v>
      </c>
      <c r="G149" s="19" t="s">
        <v>19</v>
      </c>
      <c r="H149" s="19">
        <v>80</v>
      </c>
      <c r="I149" s="20">
        <v>25</v>
      </c>
      <c r="J149" s="20">
        <f t="shared" si="6"/>
        <v>2000</v>
      </c>
      <c r="K149" s="20">
        <f>J149*0.528</f>
        <v>1056</v>
      </c>
      <c r="L149" s="20">
        <f t="shared" si="7"/>
        <v>944</v>
      </c>
      <c r="M149" s="21">
        <f t="shared" si="8"/>
        <v>0.47199999999999998</v>
      </c>
      <c r="N149" s="19">
        <v>3.9</v>
      </c>
    </row>
    <row r="150" spans="1:14" x14ac:dyDescent="0.25">
      <c r="A150" s="16">
        <v>149</v>
      </c>
      <c r="B150" s="16" t="s">
        <v>61</v>
      </c>
      <c r="C150" s="16" t="s">
        <v>15</v>
      </c>
      <c r="D150" s="16" t="s">
        <v>30</v>
      </c>
      <c r="E150" s="16" t="s">
        <v>21</v>
      </c>
      <c r="F150" s="16" t="s">
        <v>22</v>
      </c>
      <c r="G150" s="16" t="s">
        <v>45</v>
      </c>
      <c r="H150" s="16">
        <v>78</v>
      </c>
      <c r="I150" s="17">
        <v>20</v>
      </c>
      <c r="J150" s="17">
        <f t="shared" si="6"/>
        <v>1560</v>
      </c>
      <c r="K150" s="17">
        <f>J150*0.401</f>
        <v>625.56000000000006</v>
      </c>
      <c r="L150" s="17">
        <f t="shared" si="7"/>
        <v>934.43999999999994</v>
      </c>
      <c r="M150" s="18">
        <f t="shared" si="8"/>
        <v>0.59899999999999998</v>
      </c>
      <c r="N150" s="16">
        <v>4.7</v>
      </c>
    </row>
    <row r="151" spans="1:14" x14ac:dyDescent="0.25">
      <c r="A151" s="19">
        <v>150</v>
      </c>
      <c r="B151" s="19" t="s">
        <v>61</v>
      </c>
      <c r="C151" s="19" t="s">
        <v>43</v>
      </c>
      <c r="D151" s="19" t="s">
        <v>26</v>
      </c>
      <c r="E151" s="19" t="s">
        <v>31</v>
      </c>
      <c r="F151" s="19" t="s">
        <v>24</v>
      </c>
      <c r="G151" s="19" t="s">
        <v>32</v>
      </c>
      <c r="H151" s="19">
        <v>30</v>
      </c>
      <c r="I151" s="20">
        <v>35</v>
      </c>
      <c r="J151" s="20">
        <f t="shared" si="6"/>
        <v>1050</v>
      </c>
      <c r="K151" s="20">
        <f>J151*0.372</f>
        <v>390.6</v>
      </c>
      <c r="L151" s="20">
        <f t="shared" si="7"/>
        <v>659.4</v>
      </c>
      <c r="M151" s="21">
        <f t="shared" si="8"/>
        <v>0.628</v>
      </c>
      <c r="N151" s="19">
        <v>3.6</v>
      </c>
    </row>
    <row r="152" spans="1:14" x14ac:dyDescent="0.25">
      <c r="A152" s="16">
        <v>151</v>
      </c>
      <c r="B152" s="16" t="s">
        <v>61</v>
      </c>
      <c r="C152" s="16" t="s">
        <v>20</v>
      </c>
      <c r="D152" s="16" t="s">
        <v>26</v>
      </c>
      <c r="E152" s="16" t="s">
        <v>49</v>
      </c>
      <c r="F152" s="16" t="s">
        <v>18</v>
      </c>
      <c r="G152" s="16" t="s">
        <v>54</v>
      </c>
      <c r="H152" s="16">
        <v>35</v>
      </c>
      <c r="I152" s="17">
        <v>40</v>
      </c>
      <c r="J152" s="17">
        <f t="shared" si="6"/>
        <v>1400</v>
      </c>
      <c r="K152" s="17">
        <f>J152*0.485</f>
        <v>679</v>
      </c>
      <c r="L152" s="17">
        <f t="shared" si="7"/>
        <v>721</v>
      </c>
      <c r="M152" s="18">
        <f t="shared" si="8"/>
        <v>0.51500000000000001</v>
      </c>
      <c r="N152" s="16">
        <v>3.1</v>
      </c>
    </row>
    <row r="153" spans="1:14" x14ac:dyDescent="0.25">
      <c r="A153" s="19">
        <v>152</v>
      </c>
      <c r="B153" s="19" t="s">
        <v>61</v>
      </c>
      <c r="C153" s="19" t="s">
        <v>33</v>
      </c>
      <c r="D153" s="19" t="s">
        <v>30</v>
      </c>
      <c r="E153" s="19" t="s">
        <v>49</v>
      </c>
      <c r="F153" s="19" t="s">
        <v>18</v>
      </c>
      <c r="G153" s="19" t="s">
        <v>19</v>
      </c>
      <c r="H153" s="19">
        <v>8</v>
      </c>
      <c r="I153" s="20">
        <v>25</v>
      </c>
      <c r="J153" s="20">
        <f t="shared" si="6"/>
        <v>200</v>
      </c>
      <c r="K153" s="20">
        <f>J153*0.53</f>
        <v>106</v>
      </c>
      <c r="L153" s="20">
        <f t="shared" si="7"/>
        <v>94</v>
      </c>
      <c r="M153" s="21">
        <f t="shared" si="8"/>
        <v>0.47</v>
      </c>
      <c r="N153" s="19">
        <v>4.0999999999999996</v>
      </c>
    </row>
    <row r="154" spans="1:14" x14ac:dyDescent="0.25">
      <c r="A154" s="16">
        <v>153</v>
      </c>
      <c r="B154" s="16" t="s">
        <v>61</v>
      </c>
      <c r="C154" s="16" t="s">
        <v>35</v>
      </c>
      <c r="D154" s="16" t="s">
        <v>16</v>
      </c>
      <c r="E154" s="16" t="s">
        <v>49</v>
      </c>
      <c r="F154" s="16" t="s">
        <v>18</v>
      </c>
      <c r="G154" s="16" t="s">
        <v>54</v>
      </c>
      <c r="H154" s="16">
        <v>19</v>
      </c>
      <c r="I154" s="17">
        <v>40</v>
      </c>
      <c r="J154" s="17">
        <f t="shared" si="6"/>
        <v>760</v>
      </c>
      <c r="K154" s="17">
        <f>J154*0.523</f>
        <v>397.48</v>
      </c>
      <c r="L154" s="17">
        <f t="shared" si="7"/>
        <v>362.52</v>
      </c>
      <c r="M154" s="18">
        <f t="shared" si="8"/>
        <v>0.47699999999999998</v>
      </c>
      <c r="N154" s="16">
        <v>2.6</v>
      </c>
    </row>
    <row r="155" spans="1:14" x14ac:dyDescent="0.25">
      <c r="A155" s="19">
        <v>154</v>
      </c>
      <c r="B155" s="19" t="s">
        <v>61</v>
      </c>
      <c r="C155" s="19" t="s">
        <v>15</v>
      </c>
      <c r="D155" s="19" t="s">
        <v>16</v>
      </c>
      <c r="E155" s="19" t="s">
        <v>21</v>
      </c>
      <c r="F155" s="19" t="s">
        <v>18</v>
      </c>
      <c r="G155" s="19" t="s">
        <v>54</v>
      </c>
      <c r="H155" s="19">
        <v>73</v>
      </c>
      <c r="I155" s="20">
        <v>40</v>
      </c>
      <c r="J155" s="20">
        <f t="shared" si="6"/>
        <v>2920</v>
      </c>
      <c r="K155" s="20">
        <f>J155*0.48</f>
        <v>1401.6</v>
      </c>
      <c r="L155" s="20">
        <f t="shared" si="7"/>
        <v>1518.4</v>
      </c>
      <c r="M155" s="21">
        <f t="shared" si="8"/>
        <v>0.52</v>
      </c>
      <c r="N155" s="19">
        <v>5</v>
      </c>
    </row>
    <row r="156" spans="1:14" x14ac:dyDescent="0.25">
      <c r="A156" s="16">
        <v>155</v>
      </c>
      <c r="B156" s="16" t="s">
        <v>61</v>
      </c>
      <c r="C156" s="16" t="s">
        <v>43</v>
      </c>
      <c r="D156" s="16" t="s">
        <v>26</v>
      </c>
      <c r="E156" s="16" t="s">
        <v>36</v>
      </c>
      <c r="F156" s="16" t="s">
        <v>18</v>
      </c>
      <c r="G156" s="16" t="s">
        <v>19</v>
      </c>
      <c r="H156" s="16">
        <v>75</v>
      </c>
      <c r="I156" s="17">
        <v>25</v>
      </c>
      <c r="J156" s="17">
        <f t="shared" si="6"/>
        <v>1875</v>
      </c>
      <c r="K156" s="17">
        <f>J156*0.36</f>
        <v>675</v>
      </c>
      <c r="L156" s="17">
        <f t="shared" si="7"/>
        <v>1200</v>
      </c>
      <c r="M156" s="18">
        <f t="shared" si="8"/>
        <v>0.64</v>
      </c>
      <c r="N156" s="16">
        <v>2.9</v>
      </c>
    </row>
    <row r="157" spans="1:14" x14ac:dyDescent="0.25">
      <c r="A157" s="19">
        <v>156</v>
      </c>
      <c r="B157" s="19" t="s">
        <v>61</v>
      </c>
      <c r="C157" s="19" t="s">
        <v>33</v>
      </c>
      <c r="D157" s="19" t="s">
        <v>16</v>
      </c>
      <c r="E157" s="19" t="s">
        <v>17</v>
      </c>
      <c r="F157" s="19" t="s">
        <v>22</v>
      </c>
      <c r="G157" s="19" t="s">
        <v>55</v>
      </c>
      <c r="H157" s="19">
        <v>5</v>
      </c>
      <c r="I157" s="20">
        <v>35</v>
      </c>
      <c r="J157" s="20">
        <f t="shared" si="6"/>
        <v>175</v>
      </c>
      <c r="K157" s="20">
        <f>J157*0.439</f>
        <v>76.825000000000003</v>
      </c>
      <c r="L157" s="20">
        <f t="shared" si="7"/>
        <v>98.174999999999997</v>
      </c>
      <c r="M157" s="21">
        <f t="shared" si="8"/>
        <v>0.56099999999999994</v>
      </c>
      <c r="N157" s="19">
        <v>2.8</v>
      </c>
    </row>
    <row r="158" spans="1:14" x14ac:dyDescent="0.25">
      <c r="A158" s="16">
        <v>157</v>
      </c>
      <c r="B158" s="16" t="s">
        <v>61</v>
      </c>
      <c r="C158" s="16" t="s">
        <v>43</v>
      </c>
      <c r="D158" s="16" t="s">
        <v>30</v>
      </c>
      <c r="E158" s="16" t="s">
        <v>49</v>
      </c>
      <c r="F158" s="16" t="s">
        <v>41</v>
      </c>
      <c r="G158" s="16" t="s">
        <v>48</v>
      </c>
      <c r="H158" s="16">
        <v>31</v>
      </c>
      <c r="I158" s="17">
        <v>130</v>
      </c>
      <c r="J158" s="17">
        <f t="shared" si="6"/>
        <v>4030</v>
      </c>
      <c r="K158" s="17">
        <f>J158*0.541</f>
        <v>2180.23</v>
      </c>
      <c r="L158" s="17">
        <f t="shared" si="7"/>
        <v>1849.77</v>
      </c>
      <c r="M158" s="18">
        <f t="shared" si="8"/>
        <v>0.45900000000000002</v>
      </c>
      <c r="N158" s="16">
        <v>3.7</v>
      </c>
    </row>
    <row r="159" spans="1:14" x14ac:dyDescent="0.25">
      <c r="A159" s="19">
        <v>158</v>
      </c>
      <c r="B159" s="19" t="s">
        <v>61</v>
      </c>
      <c r="C159" s="19" t="s">
        <v>33</v>
      </c>
      <c r="D159" s="19" t="s">
        <v>16</v>
      </c>
      <c r="E159" s="19" t="s">
        <v>21</v>
      </c>
      <c r="F159" s="19" t="s">
        <v>18</v>
      </c>
      <c r="G159" s="19" t="s">
        <v>19</v>
      </c>
      <c r="H159" s="19">
        <v>49</v>
      </c>
      <c r="I159" s="20">
        <v>25</v>
      </c>
      <c r="J159" s="20">
        <f t="shared" si="6"/>
        <v>1225</v>
      </c>
      <c r="K159" s="20">
        <f>J159*0.485</f>
        <v>594.125</v>
      </c>
      <c r="L159" s="20">
        <f t="shared" si="7"/>
        <v>630.875</v>
      </c>
      <c r="M159" s="21">
        <f t="shared" si="8"/>
        <v>0.51500000000000001</v>
      </c>
      <c r="N159" s="19">
        <v>3.6</v>
      </c>
    </row>
    <row r="160" spans="1:14" x14ac:dyDescent="0.25">
      <c r="A160" s="16">
        <v>159</v>
      </c>
      <c r="B160" s="16" t="s">
        <v>61</v>
      </c>
      <c r="C160" s="16" t="s">
        <v>39</v>
      </c>
      <c r="D160" s="16" t="s">
        <v>26</v>
      </c>
      <c r="E160" s="16" t="s">
        <v>36</v>
      </c>
      <c r="F160" s="16" t="s">
        <v>41</v>
      </c>
      <c r="G160" s="16" t="s">
        <v>48</v>
      </c>
      <c r="H160" s="16">
        <v>73</v>
      </c>
      <c r="I160" s="17">
        <v>130</v>
      </c>
      <c r="J160" s="17">
        <f t="shared" si="6"/>
        <v>9490</v>
      </c>
      <c r="K160" s="17">
        <f>J160*0.447</f>
        <v>4242.03</v>
      </c>
      <c r="L160" s="17">
        <f t="shared" si="7"/>
        <v>5247.97</v>
      </c>
      <c r="M160" s="18">
        <f t="shared" si="8"/>
        <v>0.55300000000000005</v>
      </c>
      <c r="N160" s="16">
        <v>4.9000000000000004</v>
      </c>
    </row>
    <row r="161" spans="1:14" x14ac:dyDescent="0.25">
      <c r="A161" s="19">
        <v>160</v>
      </c>
      <c r="B161" s="19" t="s">
        <v>61</v>
      </c>
      <c r="C161" s="19" t="s">
        <v>39</v>
      </c>
      <c r="D161" s="19" t="s">
        <v>26</v>
      </c>
      <c r="E161" s="19" t="s">
        <v>31</v>
      </c>
      <c r="F161" s="19" t="s">
        <v>41</v>
      </c>
      <c r="G161" s="19" t="s">
        <v>50</v>
      </c>
      <c r="H161" s="19">
        <v>37</v>
      </c>
      <c r="I161" s="20">
        <v>110</v>
      </c>
      <c r="J161" s="20">
        <f t="shared" si="6"/>
        <v>4070</v>
      </c>
      <c r="K161" s="20">
        <f>J161*0.443</f>
        <v>1803.01</v>
      </c>
      <c r="L161" s="20">
        <f t="shared" si="7"/>
        <v>2266.9899999999998</v>
      </c>
      <c r="M161" s="21">
        <f t="shared" si="8"/>
        <v>0.55699999999999994</v>
      </c>
      <c r="N161" s="19">
        <v>4.3</v>
      </c>
    </row>
    <row r="162" spans="1:14" x14ac:dyDescent="0.25">
      <c r="A162" s="16">
        <v>161</v>
      </c>
      <c r="B162" s="16" t="s">
        <v>62</v>
      </c>
      <c r="C162" s="16" t="s">
        <v>15</v>
      </c>
      <c r="D162" s="16" t="s">
        <v>16</v>
      </c>
      <c r="E162" s="16" t="s">
        <v>17</v>
      </c>
      <c r="F162" s="16" t="s">
        <v>22</v>
      </c>
      <c r="G162" s="16" t="s">
        <v>40</v>
      </c>
      <c r="H162" s="16">
        <v>70</v>
      </c>
      <c r="I162" s="17">
        <v>30</v>
      </c>
      <c r="J162" s="17">
        <f t="shared" si="6"/>
        <v>2100</v>
      </c>
      <c r="K162" s="17">
        <f>J162*0.38</f>
        <v>798</v>
      </c>
      <c r="L162" s="17">
        <f t="shared" si="7"/>
        <v>1302</v>
      </c>
      <c r="M162" s="18">
        <f t="shared" si="8"/>
        <v>0.62</v>
      </c>
      <c r="N162" s="16">
        <v>3.2</v>
      </c>
    </row>
    <row r="163" spans="1:14" x14ac:dyDescent="0.25">
      <c r="A163" s="19">
        <v>162</v>
      </c>
      <c r="B163" s="19" t="s">
        <v>62</v>
      </c>
      <c r="C163" s="19" t="s">
        <v>43</v>
      </c>
      <c r="D163" s="19" t="s">
        <v>30</v>
      </c>
      <c r="E163" s="19" t="s">
        <v>31</v>
      </c>
      <c r="F163" s="19" t="s">
        <v>18</v>
      </c>
      <c r="G163" s="19" t="s">
        <v>19</v>
      </c>
      <c r="H163" s="19">
        <v>7</v>
      </c>
      <c r="I163" s="20">
        <v>25</v>
      </c>
      <c r="J163" s="20">
        <f t="shared" si="6"/>
        <v>175</v>
      </c>
      <c r="K163" s="20">
        <f>J163*0.375</f>
        <v>65.625</v>
      </c>
      <c r="L163" s="20">
        <f t="shared" si="7"/>
        <v>109.375</v>
      </c>
      <c r="M163" s="21">
        <f t="shared" si="8"/>
        <v>0.625</v>
      </c>
      <c r="N163" s="19">
        <v>4.8</v>
      </c>
    </row>
    <row r="164" spans="1:14" x14ac:dyDescent="0.25">
      <c r="A164" s="16">
        <v>163</v>
      </c>
      <c r="B164" s="16" t="s">
        <v>62</v>
      </c>
      <c r="C164" s="16" t="s">
        <v>43</v>
      </c>
      <c r="D164" s="16" t="s">
        <v>30</v>
      </c>
      <c r="E164" s="16" t="s">
        <v>21</v>
      </c>
      <c r="F164" s="16" t="s">
        <v>24</v>
      </c>
      <c r="G164" s="16" t="s">
        <v>25</v>
      </c>
      <c r="H164" s="16">
        <v>20</v>
      </c>
      <c r="I164" s="17">
        <v>30</v>
      </c>
      <c r="J164" s="17">
        <f t="shared" si="6"/>
        <v>600</v>
      </c>
      <c r="K164" s="17">
        <f>J164*0.507</f>
        <v>304.2</v>
      </c>
      <c r="L164" s="17">
        <f t="shared" si="7"/>
        <v>295.8</v>
      </c>
      <c r="M164" s="18">
        <f t="shared" si="8"/>
        <v>0.49299999999999999</v>
      </c>
      <c r="N164" s="16">
        <v>4.8</v>
      </c>
    </row>
    <row r="165" spans="1:14" x14ac:dyDescent="0.25">
      <c r="A165" s="19">
        <v>164</v>
      </c>
      <c r="B165" s="19" t="s">
        <v>62</v>
      </c>
      <c r="C165" s="19" t="s">
        <v>33</v>
      </c>
      <c r="D165" s="19" t="s">
        <v>26</v>
      </c>
      <c r="E165" s="19" t="s">
        <v>49</v>
      </c>
      <c r="F165" s="19" t="s">
        <v>24</v>
      </c>
      <c r="G165" s="19" t="s">
        <v>32</v>
      </c>
      <c r="H165" s="19">
        <v>40</v>
      </c>
      <c r="I165" s="20">
        <v>35</v>
      </c>
      <c r="J165" s="20">
        <f t="shared" si="6"/>
        <v>1400</v>
      </c>
      <c r="K165" s="20">
        <f>J165*0.426</f>
        <v>596.4</v>
      </c>
      <c r="L165" s="20">
        <f t="shared" si="7"/>
        <v>803.6</v>
      </c>
      <c r="M165" s="21">
        <f t="shared" si="8"/>
        <v>0.57400000000000007</v>
      </c>
      <c r="N165" s="19">
        <v>2.9</v>
      </c>
    </row>
    <row r="166" spans="1:14" x14ac:dyDescent="0.25">
      <c r="A166" s="16">
        <v>165</v>
      </c>
      <c r="B166" s="16" t="s">
        <v>62</v>
      </c>
      <c r="C166" s="16" t="s">
        <v>43</v>
      </c>
      <c r="D166" s="16" t="s">
        <v>16</v>
      </c>
      <c r="E166" s="16" t="s">
        <v>36</v>
      </c>
      <c r="F166" s="16" t="s">
        <v>18</v>
      </c>
      <c r="G166" s="16" t="s">
        <v>19</v>
      </c>
      <c r="H166" s="16">
        <v>19</v>
      </c>
      <c r="I166" s="17">
        <v>25</v>
      </c>
      <c r="J166" s="17">
        <f t="shared" si="6"/>
        <v>475</v>
      </c>
      <c r="K166" s="17">
        <f>J166*0.381</f>
        <v>180.97499999999999</v>
      </c>
      <c r="L166" s="17">
        <f t="shared" si="7"/>
        <v>294.02499999999998</v>
      </c>
      <c r="M166" s="18">
        <f t="shared" si="8"/>
        <v>0.61899999999999999</v>
      </c>
      <c r="N166" s="16">
        <v>3.2</v>
      </c>
    </row>
    <row r="167" spans="1:14" x14ac:dyDescent="0.25">
      <c r="A167" s="19">
        <v>166</v>
      </c>
      <c r="B167" s="19" t="s">
        <v>62</v>
      </c>
      <c r="C167" s="19" t="s">
        <v>35</v>
      </c>
      <c r="D167" s="19" t="s">
        <v>30</v>
      </c>
      <c r="E167" s="19" t="s">
        <v>36</v>
      </c>
      <c r="F167" s="19" t="s">
        <v>24</v>
      </c>
      <c r="G167" s="19" t="s">
        <v>25</v>
      </c>
      <c r="H167" s="19">
        <v>65</v>
      </c>
      <c r="I167" s="20">
        <v>30</v>
      </c>
      <c r="J167" s="20">
        <f t="shared" si="6"/>
        <v>1950</v>
      </c>
      <c r="K167" s="20">
        <f>J167*0.379</f>
        <v>739.05</v>
      </c>
      <c r="L167" s="20">
        <f t="shared" si="7"/>
        <v>1210.95</v>
      </c>
      <c r="M167" s="21">
        <f t="shared" si="8"/>
        <v>0.621</v>
      </c>
      <c r="N167" s="19">
        <v>3</v>
      </c>
    </row>
    <row r="168" spans="1:14" x14ac:dyDescent="0.25">
      <c r="A168" s="16">
        <v>167</v>
      </c>
      <c r="B168" s="16" t="s">
        <v>62</v>
      </c>
      <c r="C168" s="16" t="s">
        <v>39</v>
      </c>
      <c r="D168" s="16" t="s">
        <v>26</v>
      </c>
      <c r="E168" s="16" t="s">
        <v>21</v>
      </c>
      <c r="F168" s="16" t="s">
        <v>22</v>
      </c>
      <c r="G168" s="16" t="s">
        <v>23</v>
      </c>
      <c r="H168" s="16">
        <v>66</v>
      </c>
      <c r="I168" s="17">
        <v>25</v>
      </c>
      <c r="J168" s="17">
        <f t="shared" si="6"/>
        <v>1650</v>
      </c>
      <c r="K168" s="17">
        <f>J168*0.544</f>
        <v>897.6</v>
      </c>
      <c r="L168" s="17">
        <f t="shared" si="7"/>
        <v>752.4</v>
      </c>
      <c r="M168" s="18">
        <f t="shared" si="8"/>
        <v>0.45599999999999996</v>
      </c>
      <c r="N168" s="16">
        <v>5</v>
      </c>
    </row>
    <row r="169" spans="1:14" x14ac:dyDescent="0.25">
      <c r="A169" s="19">
        <v>168</v>
      </c>
      <c r="B169" s="19" t="s">
        <v>62</v>
      </c>
      <c r="C169" s="19" t="s">
        <v>43</v>
      </c>
      <c r="D169" s="19" t="s">
        <v>30</v>
      </c>
      <c r="E169" s="19" t="s">
        <v>17</v>
      </c>
      <c r="F169" s="19" t="s">
        <v>22</v>
      </c>
      <c r="G169" s="19" t="s">
        <v>45</v>
      </c>
      <c r="H169" s="19">
        <v>11</v>
      </c>
      <c r="I169" s="20">
        <v>20</v>
      </c>
      <c r="J169" s="20">
        <f t="shared" si="6"/>
        <v>220</v>
      </c>
      <c r="K169" s="20">
        <f>J169*0.359</f>
        <v>78.97999999999999</v>
      </c>
      <c r="L169" s="20">
        <f t="shared" si="7"/>
        <v>141.02000000000001</v>
      </c>
      <c r="M169" s="21">
        <f t="shared" si="8"/>
        <v>0.64100000000000001</v>
      </c>
      <c r="N169" s="19">
        <v>4.5</v>
      </c>
    </row>
    <row r="170" spans="1:14" x14ac:dyDescent="0.25">
      <c r="A170" s="16">
        <v>169</v>
      </c>
      <c r="B170" s="16" t="s">
        <v>62</v>
      </c>
      <c r="C170" s="16" t="s">
        <v>15</v>
      </c>
      <c r="D170" s="16" t="s">
        <v>26</v>
      </c>
      <c r="E170" s="16" t="s">
        <v>21</v>
      </c>
      <c r="F170" s="16" t="s">
        <v>22</v>
      </c>
      <c r="G170" s="16" t="s">
        <v>55</v>
      </c>
      <c r="H170" s="16">
        <v>77</v>
      </c>
      <c r="I170" s="17">
        <v>35</v>
      </c>
      <c r="J170" s="17">
        <f t="shared" si="6"/>
        <v>2695</v>
      </c>
      <c r="K170" s="17">
        <f>J170*0.541</f>
        <v>1457.9950000000001</v>
      </c>
      <c r="L170" s="17">
        <f t="shared" si="7"/>
        <v>1237.0049999999999</v>
      </c>
      <c r="M170" s="18">
        <f t="shared" si="8"/>
        <v>0.45899999999999996</v>
      </c>
      <c r="N170" s="16">
        <v>4.5999999999999996</v>
      </c>
    </row>
    <row r="171" spans="1:14" x14ac:dyDescent="0.25">
      <c r="A171" s="19">
        <v>170</v>
      </c>
      <c r="B171" s="19" t="s">
        <v>62</v>
      </c>
      <c r="C171" s="19" t="s">
        <v>43</v>
      </c>
      <c r="D171" s="19" t="s">
        <v>30</v>
      </c>
      <c r="E171" s="19" t="s">
        <v>36</v>
      </c>
      <c r="F171" s="19" t="s">
        <v>24</v>
      </c>
      <c r="G171" s="19" t="s">
        <v>37</v>
      </c>
      <c r="H171" s="19">
        <v>62</v>
      </c>
      <c r="I171" s="20">
        <v>30</v>
      </c>
      <c r="J171" s="20">
        <f t="shared" si="6"/>
        <v>1860</v>
      </c>
      <c r="K171" s="20">
        <f>J171*0.505</f>
        <v>939.3</v>
      </c>
      <c r="L171" s="20">
        <f t="shared" si="7"/>
        <v>920.7</v>
      </c>
      <c r="M171" s="21">
        <f t="shared" si="8"/>
        <v>0.49500000000000005</v>
      </c>
      <c r="N171" s="19">
        <v>4.5</v>
      </c>
    </row>
    <row r="172" spans="1:14" x14ac:dyDescent="0.25">
      <c r="A172" s="16">
        <v>171</v>
      </c>
      <c r="B172" s="16" t="s">
        <v>62</v>
      </c>
      <c r="C172" s="16" t="s">
        <v>33</v>
      </c>
      <c r="D172" s="16" t="s">
        <v>16</v>
      </c>
      <c r="E172" s="16" t="s">
        <v>21</v>
      </c>
      <c r="F172" s="16" t="s">
        <v>18</v>
      </c>
      <c r="G172" s="16" t="s">
        <v>38</v>
      </c>
      <c r="H172" s="16">
        <v>77</v>
      </c>
      <c r="I172" s="17">
        <v>45</v>
      </c>
      <c r="J172" s="17">
        <f t="shared" si="6"/>
        <v>3465</v>
      </c>
      <c r="K172" s="17">
        <f>J172*0.385</f>
        <v>1334.0250000000001</v>
      </c>
      <c r="L172" s="17">
        <f t="shared" si="7"/>
        <v>2130.9749999999999</v>
      </c>
      <c r="M172" s="18">
        <f t="shared" si="8"/>
        <v>0.61499999999999999</v>
      </c>
      <c r="N172" s="16">
        <v>4.8</v>
      </c>
    </row>
    <row r="173" spans="1:14" x14ac:dyDescent="0.25">
      <c r="A173" s="19">
        <v>172</v>
      </c>
      <c r="B173" s="19" t="s">
        <v>62</v>
      </c>
      <c r="C173" s="19" t="s">
        <v>33</v>
      </c>
      <c r="D173" s="19" t="s">
        <v>26</v>
      </c>
      <c r="E173" s="19" t="s">
        <v>21</v>
      </c>
      <c r="F173" s="19" t="s">
        <v>24</v>
      </c>
      <c r="G173" s="19" t="s">
        <v>44</v>
      </c>
      <c r="H173" s="19">
        <v>42</v>
      </c>
      <c r="I173" s="20">
        <v>50</v>
      </c>
      <c r="J173" s="20">
        <f t="shared" si="6"/>
        <v>2100</v>
      </c>
      <c r="K173" s="20">
        <f>J173*0.481</f>
        <v>1010.0999999999999</v>
      </c>
      <c r="L173" s="20">
        <f t="shared" si="7"/>
        <v>1089.9000000000001</v>
      </c>
      <c r="M173" s="21">
        <f t="shared" si="8"/>
        <v>0.51900000000000002</v>
      </c>
      <c r="N173" s="19">
        <v>4.9000000000000004</v>
      </c>
    </row>
    <row r="174" spans="1:14" x14ac:dyDescent="0.25">
      <c r="A174" s="16">
        <v>173</v>
      </c>
      <c r="B174" s="16" t="s">
        <v>62</v>
      </c>
      <c r="C174" s="16" t="s">
        <v>20</v>
      </c>
      <c r="D174" s="16" t="s">
        <v>16</v>
      </c>
      <c r="E174" s="16" t="s">
        <v>31</v>
      </c>
      <c r="F174" s="16" t="s">
        <v>27</v>
      </c>
      <c r="G174" s="16" t="s">
        <v>28</v>
      </c>
      <c r="H174" s="16">
        <v>24</v>
      </c>
      <c r="I174" s="17">
        <v>45</v>
      </c>
      <c r="J174" s="17">
        <f t="shared" si="6"/>
        <v>1080</v>
      </c>
      <c r="K174" s="17">
        <f>J174*0.527</f>
        <v>569.16000000000008</v>
      </c>
      <c r="L174" s="17">
        <f t="shared" si="7"/>
        <v>510.83999999999992</v>
      </c>
      <c r="M174" s="18">
        <f t="shared" si="8"/>
        <v>0.47299999999999992</v>
      </c>
      <c r="N174" s="16">
        <v>4.0999999999999996</v>
      </c>
    </row>
    <row r="175" spans="1:14" x14ac:dyDescent="0.25">
      <c r="A175" s="19">
        <v>174</v>
      </c>
      <c r="B175" s="19" t="s">
        <v>62</v>
      </c>
      <c r="C175" s="19" t="s">
        <v>35</v>
      </c>
      <c r="D175" s="19" t="s">
        <v>26</v>
      </c>
      <c r="E175" s="19" t="s">
        <v>49</v>
      </c>
      <c r="F175" s="19" t="s">
        <v>27</v>
      </c>
      <c r="G175" s="19" t="s">
        <v>52</v>
      </c>
      <c r="H175" s="19">
        <v>57</v>
      </c>
      <c r="I175" s="20">
        <v>35</v>
      </c>
      <c r="J175" s="20">
        <f t="shared" si="6"/>
        <v>1995</v>
      </c>
      <c r="K175" s="20">
        <f>J175*0.413</f>
        <v>823.93499999999995</v>
      </c>
      <c r="L175" s="20">
        <f t="shared" si="7"/>
        <v>1171.0650000000001</v>
      </c>
      <c r="M175" s="21">
        <f t="shared" si="8"/>
        <v>0.58700000000000008</v>
      </c>
      <c r="N175" s="19">
        <v>4</v>
      </c>
    </row>
    <row r="176" spans="1:14" x14ac:dyDescent="0.25">
      <c r="A176" s="16">
        <v>175</v>
      </c>
      <c r="B176" s="16" t="s">
        <v>62</v>
      </c>
      <c r="C176" s="16" t="s">
        <v>29</v>
      </c>
      <c r="D176" s="16" t="s">
        <v>26</v>
      </c>
      <c r="E176" s="16" t="s">
        <v>17</v>
      </c>
      <c r="F176" s="16" t="s">
        <v>24</v>
      </c>
      <c r="G176" s="16" t="s">
        <v>32</v>
      </c>
      <c r="H176" s="16">
        <v>17</v>
      </c>
      <c r="I176" s="17">
        <v>35</v>
      </c>
      <c r="J176" s="17">
        <f t="shared" si="6"/>
        <v>595</v>
      </c>
      <c r="K176" s="17">
        <f>J176*0.476</f>
        <v>283.21999999999997</v>
      </c>
      <c r="L176" s="17">
        <f t="shared" si="7"/>
        <v>311.78000000000003</v>
      </c>
      <c r="M176" s="18">
        <f t="shared" si="8"/>
        <v>0.52400000000000002</v>
      </c>
      <c r="N176" s="16">
        <v>4.0999999999999996</v>
      </c>
    </row>
    <row r="177" spans="1:14" x14ac:dyDescent="0.25">
      <c r="A177" s="19">
        <v>176</v>
      </c>
      <c r="B177" s="19" t="s">
        <v>62</v>
      </c>
      <c r="C177" s="19" t="s">
        <v>20</v>
      </c>
      <c r="D177" s="19" t="s">
        <v>16</v>
      </c>
      <c r="E177" s="19" t="s">
        <v>36</v>
      </c>
      <c r="F177" s="19" t="s">
        <v>24</v>
      </c>
      <c r="G177" s="19" t="s">
        <v>32</v>
      </c>
      <c r="H177" s="19">
        <v>35</v>
      </c>
      <c r="I177" s="20">
        <v>35</v>
      </c>
      <c r="J177" s="20">
        <f t="shared" si="6"/>
        <v>1225</v>
      </c>
      <c r="K177" s="20">
        <f>J177*0.475</f>
        <v>581.875</v>
      </c>
      <c r="L177" s="20">
        <f t="shared" si="7"/>
        <v>643.125</v>
      </c>
      <c r="M177" s="21">
        <f t="shared" si="8"/>
        <v>0.52500000000000002</v>
      </c>
      <c r="N177" s="19">
        <v>4</v>
      </c>
    </row>
    <row r="178" spans="1:14" x14ac:dyDescent="0.25">
      <c r="A178" s="16">
        <v>177</v>
      </c>
      <c r="B178" s="16" t="s">
        <v>62</v>
      </c>
      <c r="C178" s="16" t="s">
        <v>15</v>
      </c>
      <c r="D178" s="16" t="s">
        <v>16</v>
      </c>
      <c r="E178" s="16" t="s">
        <v>21</v>
      </c>
      <c r="F178" s="16" t="s">
        <v>24</v>
      </c>
      <c r="G178" s="16" t="s">
        <v>25</v>
      </c>
      <c r="H178" s="16">
        <v>40</v>
      </c>
      <c r="I178" s="17">
        <v>30</v>
      </c>
      <c r="J178" s="17">
        <f t="shared" si="6"/>
        <v>1200</v>
      </c>
      <c r="K178" s="17">
        <f>J178*0.38</f>
        <v>456</v>
      </c>
      <c r="L178" s="17">
        <f t="shared" si="7"/>
        <v>744</v>
      </c>
      <c r="M178" s="18">
        <f t="shared" si="8"/>
        <v>0.62</v>
      </c>
      <c r="N178" s="16">
        <v>4.9000000000000004</v>
      </c>
    </row>
    <row r="179" spans="1:14" x14ac:dyDescent="0.25">
      <c r="A179" s="19">
        <v>178</v>
      </c>
      <c r="B179" s="19" t="s">
        <v>62</v>
      </c>
      <c r="C179" s="19" t="s">
        <v>39</v>
      </c>
      <c r="D179" s="19" t="s">
        <v>26</v>
      </c>
      <c r="E179" s="19" t="s">
        <v>21</v>
      </c>
      <c r="F179" s="19" t="s">
        <v>41</v>
      </c>
      <c r="G179" s="19" t="s">
        <v>56</v>
      </c>
      <c r="H179" s="19">
        <v>31</v>
      </c>
      <c r="I179" s="20">
        <v>85</v>
      </c>
      <c r="J179" s="20">
        <f t="shared" si="6"/>
        <v>2635</v>
      </c>
      <c r="K179" s="20">
        <f>J179*0.44</f>
        <v>1159.4000000000001</v>
      </c>
      <c r="L179" s="20">
        <f t="shared" si="7"/>
        <v>1475.6</v>
      </c>
      <c r="M179" s="21">
        <f t="shared" si="8"/>
        <v>0.55999999999999994</v>
      </c>
      <c r="N179" s="19">
        <v>4.9000000000000004</v>
      </c>
    </row>
    <row r="180" spans="1:14" x14ac:dyDescent="0.25">
      <c r="A180" s="16">
        <v>179</v>
      </c>
      <c r="B180" s="16" t="s">
        <v>62</v>
      </c>
      <c r="C180" s="16" t="s">
        <v>35</v>
      </c>
      <c r="D180" s="16" t="s">
        <v>26</v>
      </c>
      <c r="E180" s="16" t="s">
        <v>17</v>
      </c>
      <c r="F180" s="16" t="s">
        <v>18</v>
      </c>
      <c r="G180" s="16" t="s">
        <v>34</v>
      </c>
      <c r="H180" s="16">
        <v>8</v>
      </c>
      <c r="I180" s="17">
        <v>55</v>
      </c>
      <c r="J180" s="17">
        <f t="shared" si="6"/>
        <v>440</v>
      </c>
      <c r="K180" s="17">
        <f>J180*0.472</f>
        <v>207.67999999999998</v>
      </c>
      <c r="L180" s="17">
        <f t="shared" si="7"/>
        <v>232.32000000000002</v>
      </c>
      <c r="M180" s="18">
        <f t="shared" si="8"/>
        <v>0.52800000000000002</v>
      </c>
      <c r="N180" s="16">
        <v>3.5</v>
      </c>
    </row>
    <row r="181" spans="1:14" x14ac:dyDescent="0.25">
      <c r="A181" s="19">
        <v>180</v>
      </c>
      <c r="B181" s="19" t="s">
        <v>62</v>
      </c>
      <c r="C181" s="19" t="s">
        <v>39</v>
      </c>
      <c r="D181" s="19" t="s">
        <v>26</v>
      </c>
      <c r="E181" s="19" t="s">
        <v>36</v>
      </c>
      <c r="F181" s="19" t="s">
        <v>18</v>
      </c>
      <c r="G181" s="19" t="s">
        <v>54</v>
      </c>
      <c r="H181" s="19">
        <v>25</v>
      </c>
      <c r="I181" s="20">
        <v>40</v>
      </c>
      <c r="J181" s="20">
        <f t="shared" si="6"/>
        <v>1000</v>
      </c>
      <c r="K181" s="20">
        <f>J181*0.436</f>
        <v>436</v>
      </c>
      <c r="L181" s="20">
        <f t="shared" si="7"/>
        <v>564</v>
      </c>
      <c r="M181" s="21">
        <f t="shared" si="8"/>
        <v>0.56399999999999995</v>
      </c>
      <c r="N181" s="19">
        <v>4.2</v>
      </c>
    </row>
    <row r="182" spans="1:14" x14ac:dyDescent="0.25">
      <c r="A182" s="16">
        <v>181</v>
      </c>
      <c r="B182" s="16" t="s">
        <v>63</v>
      </c>
      <c r="C182" s="16" t="s">
        <v>35</v>
      </c>
      <c r="D182" s="16" t="s">
        <v>26</v>
      </c>
      <c r="E182" s="16" t="s">
        <v>36</v>
      </c>
      <c r="F182" s="16" t="s">
        <v>24</v>
      </c>
      <c r="G182" s="16" t="s">
        <v>37</v>
      </c>
      <c r="H182" s="16">
        <v>33</v>
      </c>
      <c r="I182" s="17">
        <v>30</v>
      </c>
      <c r="J182" s="17">
        <f t="shared" si="6"/>
        <v>990</v>
      </c>
      <c r="K182" s="17">
        <f>J182*0.367</f>
        <v>363.33</v>
      </c>
      <c r="L182" s="17">
        <f t="shared" si="7"/>
        <v>626.67000000000007</v>
      </c>
      <c r="M182" s="18">
        <f t="shared" si="8"/>
        <v>0.63300000000000012</v>
      </c>
      <c r="N182" s="16">
        <v>3.3</v>
      </c>
    </row>
    <row r="183" spans="1:14" x14ac:dyDescent="0.25">
      <c r="A183" s="19">
        <v>182</v>
      </c>
      <c r="B183" s="19" t="s">
        <v>63</v>
      </c>
      <c r="C183" s="19" t="s">
        <v>33</v>
      </c>
      <c r="D183" s="19" t="s">
        <v>30</v>
      </c>
      <c r="E183" s="19" t="s">
        <v>17</v>
      </c>
      <c r="F183" s="19" t="s">
        <v>41</v>
      </c>
      <c r="G183" s="19" t="s">
        <v>50</v>
      </c>
      <c r="H183" s="19">
        <v>69</v>
      </c>
      <c r="I183" s="20">
        <v>110</v>
      </c>
      <c r="J183" s="20">
        <f t="shared" si="6"/>
        <v>7590</v>
      </c>
      <c r="K183" s="20">
        <f>J183*0.392</f>
        <v>2975.28</v>
      </c>
      <c r="L183" s="20">
        <f t="shared" si="7"/>
        <v>4614.7199999999993</v>
      </c>
      <c r="M183" s="21">
        <f t="shared" si="8"/>
        <v>0.60799999999999987</v>
      </c>
      <c r="N183" s="19">
        <v>2.6</v>
      </c>
    </row>
    <row r="184" spans="1:14" x14ac:dyDescent="0.25">
      <c r="A184" s="16">
        <v>183</v>
      </c>
      <c r="B184" s="16" t="s">
        <v>63</v>
      </c>
      <c r="C184" s="16" t="s">
        <v>29</v>
      </c>
      <c r="D184" s="16" t="s">
        <v>30</v>
      </c>
      <c r="E184" s="16" t="s">
        <v>17</v>
      </c>
      <c r="F184" s="16" t="s">
        <v>41</v>
      </c>
      <c r="G184" s="16" t="s">
        <v>50</v>
      </c>
      <c r="H184" s="16">
        <v>79</v>
      </c>
      <c r="I184" s="17">
        <v>110</v>
      </c>
      <c r="J184" s="17">
        <f t="shared" si="6"/>
        <v>8690</v>
      </c>
      <c r="K184" s="17">
        <f>J184*0.533</f>
        <v>4631.7700000000004</v>
      </c>
      <c r="L184" s="17">
        <f t="shared" si="7"/>
        <v>4058.2299999999996</v>
      </c>
      <c r="M184" s="18">
        <f t="shared" si="8"/>
        <v>0.46699999999999997</v>
      </c>
      <c r="N184" s="16">
        <v>4.2</v>
      </c>
    </row>
    <row r="185" spans="1:14" x14ac:dyDescent="0.25">
      <c r="A185" s="19">
        <v>184</v>
      </c>
      <c r="B185" s="19" t="s">
        <v>63</v>
      </c>
      <c r="C185" s="19" t="s">
        <v>29</v>
      </c>
      <c r="D185" s="19" t="s">
        <v>16</v>
      </c>
      <c r="E185" s="19" t="s">
        <v>36</v>
      </c>
      <c r="F185" s="19" t="s">
        <v>27</v>
      </c>
      <c r="G185" s="19" t="s">
        <v>52</v>
      </c>
      <c r="H185" s="19">
        <v>47</v>
      </c>
      <c r="I185" s="20">
        <v>35</v>
      </c>
      <c r="J185" s="20">
        <f t="shared" si="6"/>
        <v>1645</v>
      </c>
      <c r="K185" s="20">
        <f>J185*0.438</f>
        <v>720.51</v>
      </c>
      <c r="L185" s="20">
        <f t="shared" si="7"/>
        <v>924.49</v>
      </c>
      <c r="M185" s="21">
        <f t="shared" si="8"/>
        <v>0.56200000000000006</v>
      </c>
      <c r="N185" s="19">
        <v>4.2</v>
      </c>
    </row>
    <row r="186" spans="1:14" x14ac:dyDescent="0.25">
      <c r="A186" s="16">
        <v>185</v>
      </c>
      <c r="B186" s="16" t="s">
        <v>63</v>
      </c>
      <c r="C186" s="16" t="s">
        <v>20</v>
      </c>
      <c r="D186" s="16" t="s">
        <v>26</v>
      </c>
      <c r="E186" s="16" t="s">
        <v>31</v>
      </c>
      <c r="F186" s="16" t="s">
        <v>41</v>
      </c>
      <c r="G186" s="16" t="s">
        <v>56</v>
      </c>
      <c r="H186" s="16">
        <v>10</v>
      </c>
      <c r="I186" s="17">
        <v>85</v>
      </c>
      <c r="J186" s="17">
        <f t="shared" si="6"/>
        <v>850</v>
      </c>
      <c r="K186" s="17">
        <f>J186*0.5</f>
        <v>425</v>
      </c>
      <c r="L186" s="17">
        <f t="shared" si="7"/>
        <v>425</v>
      </c>
      <c r="M186" s="18">
        <f t="shared" si="8"/>
        <v>0.5</v>
      </c>
      <c r="N186" s="16">
        <v>5</v>
      </c>
    </row>
    <row r="187" spans="1:14" x14ac:dyDescent="0.25">
      <c r="A187" s="19">
        <v>186</v>
      </c>
      <c r="B187" s="19" t="s">
        <v>63</v>
      </c>
      <c r="C187" s="19" t="s">
        <v>29</v>
      </c>
      <c r="D187" s="19" t="s">
        <v>26</v>
      </c>
      <c r="E187" s="19" t="s">
        <v>36</v>
      </c>
      <c r="F187" s="19" t="s">
        <v>41</v>
      </c>
      <c r="G187" s="19" t="s">
        <v>56</v>
      </c>
      <c r="H187" s="19">
        <v>47</v>
      </c>
      <c r="I187" s="20">
        <v>85</v>
      </c>
      <c r="J187" s="20">
        <f t="shared" si="6"/>
        <v>3995</v>
      </c>
      <c r="K187" s="20">
        <f>J187*0.372</f>
        <v>1486.14</v>
      </c>
      <c r="L187" s="20">
        <f t="shared" si="7"/>
        <v>2508.8599999999997</v>
      </c>
      <c r="M187" s="21">
        <f t="shared" si="8"/>
        <v>0.62799999999999989</v>
      </c>
      <c r="N187" s="19">
        <v>4</v>
      </c>
    </row>
    <row r="188" spans="1:14" x14ac:dyDescent="0.25">
      <c r="A188" s="16">
        <v>187</v>
      </c>
      <c r="B188" s="16" t="s">
        <v>63</v>
      </c>
      <c r="C188" s="16" t="s">
        <v>20</v>
      </c>
      <c r="D188" s="16" t="s">
        <v>30</v>
      </c>
      <c r="E188" s="16" t="s">
        <v>17</v>
      </c>
      <c r="F188" s="16" t="s">
        <v>27</v>
      </c>
      <c r="G188" s="16" t="s">
        <v>52</v>
      </c>
      <c r="H188" s="16">
        <v>70</v>
      </c>
      <c r="I188" s="17">
        <v>35</v>
      </c>
      <c r="J188" s="17">
        <f t="shared" si="6"/>
        <v>2450</v>
      </c>
      <c r="K188" s="17">
        <f>J188*0.529</f>
        <v>1296.05</v>
      </c>
      <c r="L188" s="17">
        <f t="shared" si="7"/>
        <v>1153.95</v>
      </c>
      <c r="M188" s="18">
        <f t="shared" si="8"/>
        <v>0.47100000000000003</v>
      </c>
      <c r="N188" s="16">
        <v>3.6</v>
      </c>
    </row>
    <row r="189" spans="1:14" x14ac:dyDescent="0.25">
      <c r="A189" s="19">
        <v>188</v>
      </c>
      <c r="B189" s="19" t="s">
        <v>63</v>
      </c>
      <c r="C189" s="19" t="s">
        <v>35</v>
      </c>
      <c r="D189" s="19" t="s">
        <v>30</v>
      </c>
      <c r="E189" s="19" t="s">
        <v>17</v>
      </c>
      <c r="F189" s="19" t="s">
        <v>24</v>
      </c>
      <c r="G189" s="19" t="s">
        <v>25</v>
      </c>
      <c r="H189" s="19">
        <v>41</v>
      </c>
      <c r="I189" s="20">
        <v>30</v>
      </c>
      <c r="J189" s="20">
        <f t="shared" si="6"/>
        <v>1230</v>
      </c>
      <c r="K189" s="20">
        <f>J189*0.419</f>
        <v>515.37</v>
      </c>
      <c r="L189" s="20">
        <f t="shared" si="7"/>
        <v>714.63</v>
      </c>
      <c r="M189" s="21">
        <f t="shared" si="8"/>
        <v>0.58099999999999996</v>
      </c>
      <c r="N189" s="19">
        <v>3.3</v>
      </c>
    </row>
    <row r="190" spans="1:14" x14ac:dyDescent="0.25">
      <c r="A190" s="16">
        <v>189</v>
      </c>
      <c r="B190" s="16" t="s">
        <v>63</v>
      </c>
      <c r="C190" s="16" t="s">
        <v>20</v>
      </c>
      <c r="D190" s="16" t="s">
        <v>16</v>
      </c>
      <c r="E190" s="16" t="s">
        <v>31</v>
      </c>
      <c r="F190" s="16" t="s">
        <v>22</v>
      </c>
      <c r="G190" s="16" t="s">
        <v>55</v>
      </c>
      <c r="H190" s="16">
        <v>58</v>
      </c>
      <c r="I190" s="17">
        <v>35</v>
      </c>
      <c r="J190" s="17">
        <f t="shared" si="6"/>
        <v>2030</v>
      </c>
      <c r="K190" s="17">
        <f>J190*0.471</f>
        <v>956.13</v>
      </c>
      <c r="L190" s="17">
        <f t="shared" si="7"/>
        <v>1073.8699999999999</v>
      </c>
      <c r="M190" s="18">
        <f t="shared" si="8"/>
        <v>0.52899999999999991</v>
      </c>
      <c r="N190" s="16">
        <v>4</v>
      </c>
    </row>
    <row r="191" spans="1:14" x14ac:dyDescent="0.25">
      <c r="A191" s="19">
        <v>190</v>
      </c>
      <c r="B191" s="19" t="s">
        <v>63</v>
      </c>
      <c r="C191" s="19" t="s">
        <v>39</v>
      </c>
      <c r="D191" s="19" t="s">
        <v>26</v>
      </c>
      <c r="E191" s="19" t="s">
        <v>21</v>
      </c>
      <c r="F191" s="19" t="s">
        <v>22</v>
      </c>
      <c r="G191" s="19" t="s">
        <v>40</v>
      </c>
      <c r="H191" s="19">
        <v>66</v>
      </c>
      <c r="I191" s="20">
        <v>30</v>
      </c>
      <c r="J191" s="20">
        <f t="shared" si="6"/>
        <v>1980</v>
      </c>
      <c r="K191" s="20">
        <f>J191*0.489</f>
        <v>968.22</v>
      </c>
      <c r="L191" s="20">
        <f t="shared" si="7"/>
        <v>1011.78</v>
      </c>
      <c r="M191" s="21">
        <f t="shared" si="8"/>
        <v>0.51100000000000001</v>
      </c>
      <c r="N191" s="19">
        <v>2.9</v>
      </c>
    </row>
    <row r="192" spans="1:14" x14ac:dyDescent="0.25">
      <c r="A192" s="16">
        <v>191</v>
      </c>
      <c r="B192" s="16" t="s">
        <v>63</v>
      </c>
      <c r="C192" s="16" t="s">
        <v>15</v>
      </c>
      <c r="D192" s="16" t="s">
        <v>16</v>
      </c>
      <c r="E192" s="16" t="s">
        <v>36</v>
      </c>
      <c r="F192" s="16" t="s">
        <v>24</v>
      </c>
      <c r="G192" s="16" t="s">
        <v>37</v>
      </c>
      <c r="H192" s="16">
        <v>72</v>
      </c>
      <c r="I192" s="17">
        <v>30</v>
      </c>
      <c r="J192" s="17">
        <f t="shared" si="6"/>
        <v>2160</v>
      </c>
      <c r="K192" s="17">
        <f>J192*0.369</f>
        <v>797.04</v>
      </c>
      <c r="L192" s="17">
        <f t="shared" si="7"/>
        <v>1362.96</v>
      </c>
      <c r="M192" s="18">
        <f t="shared" si="8"/>
        <v>0.63100000000000001</v>
      </c>
      <c r="N192" s="16">
        <v>3.2</v>
      </c>
    </row>
    <row r="193" spans="1:14" x14ac:dyDescent="0.25">
      <c r="A193" s="19">
        <v>192</v>
      </c>
      <c r="B193" s="19" t="s">
        <v>63</v>
      </c>
      <c r="C193" s="19" t="s">
        <v>15</v>
      </c>
      <c r="D193" s="19" t="s">
        <v>16</v>
      </c>
      <c r="E193" s="19" t="s">
        <v>31</v>
      </c>
      <c r="F193" s="19" t="s">
        <v>27</v>
      </c>
      <c r="G193" s="19" t="s">
        <v>47</v>
      </c>
      <c r="H193" s="19">
        <v>54</v>
      </c>
      <c r="I193" s="20">
        <v>70</v>
      </c>
      <c r="J193" s="20">
        <f t="shared" si="6"/>
        <v>3780</v>
      </c>
      <c r="K193" s="20">
        <f>J193*0.505</f>
        <v>1908.9</v>
      </c>
      <c r="L193" s="20">
        <f t="shared" si="7"/>
        <v>1871.1</v>
      </c>
      <c r="M193" s="21">
        <f t="shared" si="8"/>
        <v>0.495</v>
      </c>
      <c r="N193" s="19">
        <v>3.2</v>
      </c>
    </row>
    <row r="194" spans="1:14" x14ac:dyDescent="0.25">
      <c r="A194" s="16">
        <v>193</v>
      </c>
      <c r="B194" s="16" t="s">
        <v>63</v>
      </c>
      <c r="C194" s="16" t="s">
        <v>20</v>
      </c>
      <c r="D194" s="16" t="s">
        <v>16</v>
      </c>
      <c r="E194" s="16" t="s">
        <v>31</v>
      </c>
      <c r="F194" s="16" t="s">
        <v>27</v>
      </c>
      <c r="G194" s="16" t="s">
        <v>28</v>
      </c>
      <c r="H194" s="16">
        <v>39</v>
      </c>
      <c r="I194" s="17">
        <v>45</v>
      </c>
      <c r="J194" s="17">
        <f t="shared" ref="J194:J257" si="9">H194*I194</f>
        <v>1755</v>
      </c>
      <c r="K194" s="17">
        <f>J194*0.364</f>
        <v>638.81999999999994</v>
      </c>
      <c r="L194" s="17">
        <f t="shared" ref="L194:L257" si="10">J194-K194</f>
        <v>1116.18</v>
      </c>
      <c r="M194" s="18">
        <f t="shared" ref="M194:M257" si="11">IF(J194=0,0,L194/J194)</f>
        <v>0.63600000000000001</v>
      </c>
      <c r="N194" s="16">
        <v>3.2</v>
      </c>
    </row>
    <row r="195" spans="1:14" x14ac:dyDescent="0.25">
      <c r="A195" s="19">
        <v>194</v>
      </c>
      <c r="B195" s="19" t="s">
        <v>63</v>
      </c>
      <c r="C195" s="19" t="s">
        <v>15</v>
      </c>
      <c r="D195" s="19" t="s">
        <v>26</v>
      </c>
      <c r="E195" s="19" t="s">
        <v>31</v>
      </c>
      <c r="F195" s="19" t="s">
        <v>22</v>
      </c>
      <c r="G195" s="19" t="s">
        <v>55</v>
      </c>
      <c r="H195" s="19">
        <v>71</v>
      </c>
      <c r="I195" s="20">
        <v>35</v>
      </c>
      <c r="J195" s="20">
        <f t="shared" si="9"/>
        <v>2485</v>
      </c>
      <c r="K195" s="20">
        <f>J195*0.546</f>
        <v>1356.8100000000002</v>
      </c>
      <c r="L195" s="20">
        <f t="shared" si="10"/>
        <v>1128.1899999999998</v>
      </c>
      <c r="M195" s="21">
        <f t="shared" si="11"/>
        <v>0.4539999999999999</v>
      </c>
      <c r="N195" s="19">
        <v>3.6</v>
      </c>
    </row>
    <row r="196" spans="1:14" x14ac:dyDescent="0.25">
      <c r="A196" s="16">
        <v>195</v>
      </c>
      <c r="B196" s="16" t="s">
        <v>63</v>
      </c>
      <c r="C196" s="16" t="s">
        <v>39</v>
      </c>
      <c r="D196" s="16" t="s">
        <v>26</v>
      </c>
      <c r="E196" s="16" t="s">
        <v>49</v>
      </c>
      <c r="F196" s="16" t="s">
        <v>22</v>
      </c>
      <c r="G196" s="16" t="s">
        <v>45</v>
      </c>
      <c r="H196" s="16">
        <v>78</v>
      </c>
      <c r="I196" s="17">
        <v>20</v>
      </c>
      <c r="J196" s="17">
        <f t="shared" si="9"/>
        <v>1560</v>
      </c>
      <c r="K196" s="17">
        <f>J196*0.542</f>
        <v>845.5200000000001</v>
      </c>
      <c r="L196" s="17">
        <f t="shared" si="10"/>
        <v>714.4799999999999</v>
      </c>
      <c r="M196" s="18">
        <f t="shared" si="11"/>
        <v>0.45799999999999996</v>
      </c>
      <c r="N196" s="16">
        <v>3.1</v>
      </c>
    </row>
    <row r="197" spans="1:14" x14ac:dyDescent="0.25">
      <c r="A197" s="19">
        <v>196</v>
      </c>
      <c r="B197" s="19" t="s">
        <v>63</v>
      </c>
      <c r="C197" s="19" t="s">
        <v>39</v>
      </c>
      <c r="D197" s="19" t="s">
        <v>30</v>
      </c>
      <c r="E197" s="19" t="s">
        <v>21</v>
      </c>
      <c r="F197" s="19" t="s">
        <v>18</v>
      </c>
      <c r="G197" s="19" t="s">
        <v>19</v>
      </c>
      <c r="H197" s="19">
        <v>70</v>
      </c>
      <c r="I197" s="20">
        <v>25</v>
      </c>
      <c r="J197" s="20">
        <f t="shared" si="9"/>
        <v>1750</v>
      </c>
      <c r="K197" s="20">
        <f>J197*0.48</f>
        <v>840</v>
      </c>
      <c r="L197" s="20">
        <f t="shared" si="10"/>
        <v>910</v>
      </c>
      <c r="M197" s="21">
        <f t="shared" si="11"/>
        <v>0.52</v>
      </c>
      <c r="N197" s="19">
        <v>3.4</v>
      </c>
    </row>
    <row r="198" spans="1:14" x14ac:dyDescent="0.25">
      <c r="A198" s="16">
        <v>197</v>
      </c>
      <c r="B198" s="16" t="s">
        <v>63</v>
      </c>
      <c r="C198" s="16" t="s">
        <v>29</v>
      </c>
      <c r="D198" s="16" t="s">
        <v>30</v>
      </c>
      <c r="E198" s="16" t="s">
        <v>49</v>
      </c>
      <c r="F198" s="16" t="s">
        <v>18</v>
      </c>
      <c r="G198" s="16" t="s">
        <v>34</v>
      </c>
      <c r="H198" s="16">
        <v>60</v>
      </c>
      <c r="I198" s="17">
        <v>55</v>
      </c>
      <c r="J198" s="17">
        <f t="shared" si="9"/>
        <v>3300</v>
      </c>
      <c r="K198" s="17">
        <f>J198*0.451</f>
        <v>1488.3</v>
      </c>
      <c r="L198" s="17">
        <f t="shared" si="10"/>
        <v>1811.7</v>
      </c>
      <c r="M198" s="18">
        <f t="shared" si="11"/>
        <v>0.54900000000000004</v>
      </c>
      <c r="N198" s="16">
        <v>3</v>
      </c>
    </row>
    <row r="199" spans="1:14" x14ac:dyDescent="0.25">
      <c r="A199" s="19">
        <v>198</v>
      </c>
      <c r="B199" s="19" t="s">
        <v>63</v>
      </c>
      <c r="C199" s="19" t="s">
        <v>39</v>
      </c>
      <c r="D199" s="19" t="s">
        <v>30</v>
      </c>
      <c r="E199" s="19" t="s">
        <v>21</v>
      </c>
      <c r="F199" s="19" t="s">
        <v>41</v>
      </c>
      <c r="G199" s="19" t="s">
        <v>50</v>
      </c>
      <c r="H199" s="19">
        <v>76</v>
      </c>
      <c r="I199" s="20">
        <v>110</v>
      </c>
      <c r="J199" s="20">
        <f t="shared" si="9"/>
        <v>8360</v>
      </c>
      <c r="K199" s="20">
        <f>J199*0.5</f>
        <v>4180</v>
      </c>
      <c r="L199" s="20">
        <f t="shared" si="10"/>
        <v>4180</v>
      </c>
      <c r="M199" s="21">
        <f t="shared" si="11"/>
        <v>0.5</v>
      </c>
      <c r="N199" s="19">
        <v>4.0999999999999996</v>
      </c>
    </row>
    <row r="200" spans="1:14" x14ac:dyDescent="0.25">
      <c r="A200" s="16">
        <v>199</v>
      </c>
      <c r="B200" s="16" t="s">
        <v>63</v>
      </c>
      <c r="C200" s="16" t="s">
        <v>39</v>
      </c>
      <c r="D200" s="16" t="s">
        <v>16</v>
      </c>
      <c r="E200" s="16" t="s">
        <v>31</v>
      </c>
      <c r="F200" s="16" t="s">
        <v>22</v>
      </c>
      <c r="G200" s="16" t="s">
        <v>40</v>
      </c>
      <c r="H200" s="16">
        <v>51</v>
      </c>
      <c r="I200" s="17">
        <v>30</v>
      </c>
      <c r="J200" s="17">
        <f t="shared" si="9"/>
        <v>1530</v>
      </c>
      <c r="K200" s="17">
        <f>J200*0.462</f>
        <v>706.86</v>
      </c>
      <c r="L200" s="17">
        <f t="shared" si="10"/>
        <v>823.14</v>
      </c>
      <c r="M200" s="18">
        <f t="shared" si="11"/>
        <v>0.53800000000000003</v>
      </c>
      <c r="N200" s="16">
        <v>3.6</v>
      </c>
    </row>
    <row r="201" spans="1:14" x14ac:dyDescent="0.25">
      <c r="A201" s="19">
        <v>200</v>
      </c>
      <c r="B201" s="19" t="s">
        <v>63</v>
      </c>
      <c r="C201" s="19" t="s">
        <v>20</v>
      </c>
      <c r="D201" s="19" t="s">
        <v>16</v>
      </c>
      <c r="E201" s="19" t="s">
        <v>21</v>
      </c>
      <c r="F201" s="19" t="s">
        <v>27</v>
      </c>
      <c r="G201" s="19" t="s">
        <v>52</v>
      </c>
      <c r="H201" s="19">
        <v>25</v>
      </c>
      <c r="I201" s="20">
        <v>35</v>
      </c>
      <c r="J201" s="20">
        <f t="shared" si="9"/>
        <v>875</v>
      </c>
      <c r="K201" s="20">
        <f>J201*0.377</f>
        <v>329.875</v>
      </c>
      <c r="L201" s="20">
        <f t="shared" si="10"/>
        <v>545.125</v>
      </c>
      <c r="M201" s="21">
        <f t="shared" si="11"/>
        <v>0.623</v>
      </c>
      <c r="N201" s="19">
        <v>4.0999999999999996</v>
      </c>
    </row>
    <row r="202" spans="1:14" x14ac:dyDescent="0.25">
      <c r="A202" s="16">
        <v>201</v>
      </c>
      <c r="B202" s="16" t="s">
        <v>64</v>
      </c>
      <c r="C202" s="16" t="s">
        <v>39</v>
      </c>
      <c r="D202" s="16" t="s">
        <v>30</v>
      </c>
      <c r="E202" s="16" t="s">
        <v>21</v>
      </c>
      <c r="F202" s="16" t="s">
        <v>18</v>
      </c>
      <c r="G202" s="16" t="s">
        <v>34</v>
      </c>
      <c r="H202" s="16">
        <v>33</v>
      </c>
      <c r="I202" s="17">
        <v>55</v>
      </c>
      <c r="J202" s="17">
        <f t="shared" si="9"/>
        <v>1815</v>
      </c>
      <c r="K202" s="17">
        <f>J202*0.521</f>
        <v>945.61500000000001</v>
      </c>
      <c r="L202" s="17">
        <f t="shared" si="10"/>
        <v>869.38499999999999</v>
      </c>
      <c r="M202" s="18">
        <f t="shared" si="11"/>
        <v>0.47899999999999998</v>
      </c>
      <c r="N202" s="16">
        <v>3.4</v>
      </c>
    </row>
    <row r="203" spans="1:14" x14ac:dyDescent="0.25">
      <c r="A203" s="19">
        <v>202</v>
      </c>
      <c r="B203" s="19" t="s">
        <v>64</v>
      </c>
      <c r="C203" s="19" t="s">
        <v>35</v>
      </c>
      <c r="D203" s="19" t="s">
        <v>16</v>
      </c>
      <c r="E203" s="19" t="s">
        <v>17</v>
      </c>
      <c r="F203" s="19" t="s">
        <v>41</v>
      </c>
      <c r="G203" s="19" t="s">
        <v>42</v>
      </c>
      <c r="H203" s="19">
        <v>67</v>
      </c>
      <c r="I203" s="20">
        <v>95</v>
      </c>
      <c r="J203" s="20">
        <f t="shared" si="9"/>
        <v>6365</v>
      </c>
      <c r="K203" s="20">
        <f>J203*0.519</f>
        <v>3303.4349999999999</v>
      </c>
      <c r="L203" s="20">
        <f t="shared" si="10"/>
        <v>3061.5650000000001</v>
      </c>
      <c r="M203" s="21">
        <f t="shared" si="11"/>
        <v>0.48099999999999998</v>
      </c>
      <c r="N203" s="19">
        <v>3.4</v>
      </c>
    </row>
    <row r="204" spans="1:14" x14ac:dyDescent="0.25">
      <c r="A204" s="16">
        <v>203</v>
      </c>
      <c r="B204" s="16" t="s">
        <v>64</v>
      </c>
      <c r="C204" s="16" t="s">
        <v>43</v>
      </c>
      <c r="D204" s="16" t="s">
        <v>26</v>
      </c>
      <c r="E204" s="16" t="s">
        <v>31</v>
      </c>
      <c r="F204" s="16" t="s">
        <v>22</v>
      </c>
      <c r="G204" s="16" t="s">
        <v>45</v>
      </c>
      <c r="H204" s="16">
        <v>63</v>
      </c>
      <c r="I204" s="17">
        <v>20</v>
      </c>
      <c r="J204" s="17">
        <f t="shared" si="9"/>
        <v>1260</v>
      </c>
      <c r="K204" s="17">
        <f>J204*0.495</f>
        <v>623.70000000000005</v>
      </c>
      <c r="L204" s="17">
        <f t="shared" si="10"/>
        <v>636.29999999999995</v>
      </c>
      <c r="M204" s="18">
        <f t="shared" si="11"/>
        <v>0.505</v>
      </c>
      <c r="N204" s="16">
        <v>2.8</v>
      </c>
    </row>
    <row r="205" spans="1:14" x14ac:dyDescent="0.25">
      <c r="A205" s="19">
        <v>204</v>
      </c>
      <c r="B205" s="19" t="s">
        <v>64</v>
      </c>
      <c r="C205" s="19" t="s">
        <v>43</v>
      </c>
      <c r="D205" s="19" t="s">
        <v>30</v>
      </c>
      <c r="E205" s="19" t="s">
        <v>21</v>
      </c>
      <c r="F205" s="19" t="s">
        <v>18</v>
      </c>
      <c r="G205" s="19" t="s">
        <v>38</v>
      </c>
      <c r="H205" s="19">
        <v>40</v>
      </c>
      <c r="I205" s="20">
        <v>45</v>
      </c>
      <c r="J205" s="20">
        <f t="shared" si="9"/>
        <v>1800</v>
      </c>
      <c r="K205" s="20">
        <f>J205*0.399</f>
        <v>718.2</v>
      </c>
      <c r="L205" s="20">
        <f t="shared" si="10"/>
        <v>1081.8</v>
      </c>
      <c r="M205" s="21">
        <f t="shared" si="11"/>
        <v>0.60099999999999998</v>
      </c>
      <c r="N205" s="19">
        <v>4.0999999999999996</v>
      </c>
    </row>
    <row r="206" spans="1:14" x14ac:dyDescent="0.25">
      <c r="A206" s="16">
        <v>205</v>
      </c>
      <c r="B206" s="16" t="s">
        <v>64</v>
      </c>
      <c r="C206" s="16" t="s">
        <v>39</v>
      </c>
      <c r="D206" s="16" t="s">
        <v>30</v>
      </c>
      <c r="E206" s="16" t="s">
        <v>49</v>
      </c>
      <c r="F206" s="16" t="s">
        <v>41</v>
      </c>
      <c r="G206" s="16" t="s">
        <v>50</v>
      </c>
      <c r="H206" s="16">
        <v>47</v>
      </c>
      <c r="I206" s="17">
        <v>110</v>
      </c>
      <c r="J206" s="17">
        <f t="shared" si="9"/>
        <v>5170</v>
      </c>
      <c r="K206" s="17">
        <f>J206*0.381</f>
        <v>1969.77</v>
      </c>
      <c r="L206" s="17">
        <f t="shared" si="10"/>
        <v>3200.23</v>
      </c>
      <c r="M206" s="18">
        <f t="shared" si="11"/>
        <v>0.61899999999999999</v>
      </c>
      <c r="N206" s="16">
        <v>2.9</v>
      </c>
    </row>
    <row r="207" spans="1:14" x14ac:dyDescent="0.25">
      <c r="A207" s="19">
        <v>206</v>
      </c>
      <c r="B207" s="19" t="s">
        <v>64</v>
      </c>
      <c r="C207" s="19" t="s">
        <v>35</v>
      </c>
      <c r="D207" s="19" t="s">
        <v>16</v>
      </c>
      <c r="E207" s="19" t="s">
        <v>49</v>
      </c>
      <c r="F207" s="19" t="s">
        <v>18</v>
      </c>
      <c r="G207" s="19" t="s">
        <v>54</v>
      </c>
      <c r="H207" s="19">
        <v>18</v>
      </c>
      <c r="I207" s="20">
        <v>40</v>
      </c>
      <c r="J207" s="20">
        <f t="shared" si="9"/>
        <v>720</v>
      </c>
      <c r="K207" s="20">
        <f>J207*0.373</f>
        <v>268.56</v>
      </c>
      <c r="L207" s="20">
        <f t="shared" si="10"/>
        <v>451.44</v>
      </c>
      <c r="M207" s="21">
        <f t="shared" si="11"/>
        <v>0.627</v>
      </c>
      <c r="N207" s="19">
        <v>4.2</v>
      </c>
    </row>
    <row r="208" spans="1:14" x14ac:dyDescent="0.25">
      <c r="A208" s="16">
        <v>207</v>
      </c>
      <c r="B208" s="16" t="s">
        <v>64</v>
      </c>
      <c r="C208" s="16" t="s">
        <v>15</v>
      </c>
      <c r="D208" s="16" t="s">
        <v>30</v>
      </c>
      <c r="E208" s="16" t="s">
        <v>31</v>
      </c>
      <c r="F208" s="16" t="s">
        <v>18</v>
      </c>
      <c r="G208" s="16" t="s">
        <v>38</v>
      </c>
      <c r="H208" s="16">
        <v>56</v>
      </c>
      <c r="I208" s="17">
        <v>45</v>
      </c>
      <c r="J208" s="17">
        <f t="shared" si="9"/>
        <v>2520</v>
      </c>
      <c r="K208" s="17">
        <f>J208*0.53</f>
        <v>1335.6000000000001</v>
      </c>
      <c r="L208" s="17">
        <f t="shared" si="10"/>
        <v>1184.3999999999999</v>
      </c>
      <c r="M208" s="18">
        <f t="shared" si="11"/>
        <v>0.47</v>
      </c>
      <c r="N208" s="16">
        <v>3.2</v>
      </c>
    </row>
    <row r="209" spans="1:14" x14ac:dyDescent="0.25">
      <c r="A209" s="19">
        <v>208</v>
      </c>
      <c r="B209" s="19" t="s">
        <v>64</v>
      </c>
      <c r="C209" s="19" t="s">
        <v>15</v>
      </c>
      <c r="D209" s="19" t="s">
        <v>26</v>
      </c>
      <c r="E209" s="19" t="s">
        <v>17</v>
      </c>
      <c r="F209" s="19" t="s">
        <v>41</v>
      </c>
      <c r="G209" s="19" t="s">
        <v>42</v>
      </c>
      <c r="H209" s="19">
        <v>65</v>
      </c>
      <c r="I209" s="20">
        <v>95</v>
      </c>
      <c r="J209" s="20">
        <f t="shared" si="9"/>
        <v>6175</v>
      </c>
      <c r="K209" s="20">
        <f>J209*0.536</f>
        <v>3309.8</v>
      </c>
      <c r="L209" s="20">
        <f t="shared" si="10"/>
        <v>2865.2</v>
      </c>
      <c r="M209" s="21">
        <f t="shared" si="11"/>
        <v>0.46399999999999997</v>
      </c>
      <c r="N209" s="19">
        <v>4.7</v>
      </c>
    </row>
    <row r="210" spans="1:14" x14ac:dyDescent="0.25">
      <c r="A210" s="16">
        <v>209</v>
      </c>
      <c r="B210" s="16" t="s">
        <v>64</v>
      </c>
      <c r="C210" s="16" t="s">
        <v>39</v>
      </c>
      <c r="D210" s="16" t="s">
        <v>30</v>
      </c>
      <c r="E210" s="16" t="s">
        <v>17</v>
      </c>
      <c r="F210" s="16" t="s">
        <v>27</v>
      </c>
      <c r="G210" s="16" t="s">
        <v>51</v>
      </c>
      <c r="H210" s="16">
        <v>7</v>
      </c>
      <c r="I210" s="17">
        <v>55</v>
      </c>
      <c r="J210" s="17">
        <f t="shared" si="9"/>
        <v>385</v>
      </c>
      <c r="K210" s="17">
        <f>J210*0.417</f>
        <v>160.54499999999999</v>
      </c>
      <c r="L210" s="17">
        <f t="shared" si="10"/>
        <v>224.45500000000001</v>
      </c>
      <c r="M210" s="18">
        <f t="shared" si="11"/>
        <v>0.58300000000000007</v>
      </c>
      <c r="N210" s="16">
        <v>3.4</v>
      </c>
    </row>
    <row r="211" spans="1:14" x14ac:dyDescent="0.25">
      <c r="A211" s="19">
        <v>210</v>
      </c>
      <c r="B211" s="19" t="s">
        <v>64</v>
      </c>
      <c r="C211" s="19" t="s">
        <v>39</v>
      </c>
      <c r="D211" s="19" t="s">
        <v>16</v>
      </c>
      <c r="E211" s="19" t="s">
        <v>17</v>
      </c>
      <c r="F211" s="19" t="s">
        <v>27</v>
      </c>
      <c r="G211" s="19" t="s">
        <v>51</v>
      </c>
      <c r="H211" s="19">
        <v>58</v>
      </c>
      <c r="I211" s="20">
        <v>55</v>
      </c>
      <c r="J211" s="20">
        <f t="shared" si="9"/>
        <v>3190</v>
      </c>
      <c r="K211" s="20">
        <f>J211*0.44</f>
        <v>1403.6</v>
      </c>
      <c r="L211" s="20">
        <f t="shared" si="10"/>
        <v>1786.4</v>
      </c>
      <c r="M211" s="21">
        <f t="shared" si="11"/>
        <v>0.56000000000000005</v>
      </c>
      <c r="N211" s="19">
        <v>3.2</v>
      </c>
    </row>
    <row r="212" spans="1:14" x14ac:dyDescent="0.25">
      <c r="A212" s="16">
        <v>211</v>
      </c>
      <c r="B212" s="16" t="s">
        <v>64</v>
      </c>
      <c r="C212" s="16" t="s">
        <v>43</v>
      </c>
      <c r="D212" s="16" t="s">
        <v>26</v>
      </c>
      <c r="E212" s="16" t="s">
        <v>21</v>
      </c>
      <c r="F212" s="16" t="s">
        <v>41</v>
      </c>
      <c r="G212" s="16" t="s">
        <v>48</v>
      </c>
      <c r="H212" s="16">
        <v>5</v>
      </c>
      <c r="I212" s="17">
        <v>130</v>
      </c>
      <c r="J212" s="17">
        <f t="shared" si="9"/>
        <v>650</v>
      </c>
      <c r="K212" s="17">
        <f>J212*0.446</f>
        <v>289.89999999999998</v>
      </c>
      <c r="L212" s="17">
        <f t="shared" si="10"/>
        <v>360.1</v>
      </c>
      <c r="M212" s="18">
        <f t="shared" si="11"/>
        <v>0.55400000000000005</v>
      </c>
      <c r="N212" s="16">
        <v>3.3</v>
      </c>
    </row>
    <row r="213" spans="1:14" x14ac:dyDescent="0.25">
      <c r="A213" s="19">
        <v>212</v>
      </c>
      <c r="B213" s="19" t="s">
        <v>64</v>
      </c>
      <c r="C213" s="19" t="s">
        <v>20</v>
      </c>
      <c r="D213" s="19" t="s">
        <v>16</v>
      </c>
      <c r="E213" s="19" t="s">
        <v>36</v>
      </c>
      <c r="F213" s="19" t="s">
        <v>24</v>
      </c>
      <c r="G213" s="19" t="s">
        <v>37</v>
      </c>
      <c r="H213" s="19">
        <v>33</v>
      </c>
      <c r="I213" s="20">
        <v>30</v>
      </c>
      <c r="J213" s="20">
        <f t="shared" si="9"/>
        <v>990</v>
      </c>
      <c r="K213" s="20">
        <f>J213*0.438</f>
        <v>433.62</v>
      </c>
      <c r="L213" s="20">
        <f t="shared" si="10"/>
        <v>556.38</v>
      </c>
      <c r="M213" s="21">
        <f t="shared" si="11"/>
        <v>0.56199999999999994</v>
      </c>
      <c r="N213" s="19">
        <v>2.6</v>
      </c>
    </row>
    <row r="214" spans="1:14" x14ac:dyDescent="0.25">
      <c r="A214" s="16">
        <v>213</v>
      </c>
      <c r="B214" s="16" t="s">
        <v>64</v>
      </c>
      <c r="C214" s="16" t="s">
        <v>29</v>
      </c>
      <c r="D214" s="16" t="s">
        <v>16</v>
      </c>
      <c r="E214" s="16" t="s">
        <v>49</v>
      </c>
      <c r="F214" s="16" t="s">
        <v>41</v>
      </c>
      <c r="G214" s="16" t="s">
        <v>42</v>
      </c>
      <c r="H214" s="16">
        <v>65</v>
      </c>
      <c r="I214" s="17">
        <v>95</v>
      </c>
      <c r="J214" s="17">
        <f t="shared" si="9"/>
        <v>6175</v>
      </c>
      <c r="K214" s="17">
        <f>J214*0.398</f>
        <v>2457.65</v>
      </c>
      <c r="L214" s="17">
        <f t="shared" si="10"/>
        <v>3717.35</v>
      </c>
      <c r="M214" s="18">
        <f t="shared" si="11"/>
        <v>0.60199999999999998</v>
      </c>
      <c r="N214" s="16">
        <v>4.8</v>
      </c>
    </row>
    <row r="215" spans="1:14" x14ac:dyDescent="0.25">
      <c r="A215" s="19">
        <v>214</v>
      </c>
      <c r="B215" s="19" t="s">
        <v>64</v>
      </c>
      <c r="C215" s="19" t="s">
        <v>43</v>
      </c>
      <c r="D215" s="19" t="s">
        <v>16</v>
      </c>
      <c r="E215" s="19" t="s">
        <v>21</v>
      </c>
      <c r="F215" s="19" t="s">
        <v>41</v>
      </c>
      <c r="G215" s="19" t="s">
        <v>50</v>
      </c>
      <c r="H215" s="19">
        <v>24</v>
      </c>
      <c r="I215" s="20">
        <v>110</v>
      </c>
      <c r="J215" s="20">
        <f t="shared" si="9"/>
        <v>2640</v>
      </c>
      <c r="K215" s="20">
        <f>J215*0.501</f>
        <v>1322.64</v>
      </c>
      <c r="L215" s="20">
        <f t="shared" si="10"/>
        <v>1317.36</v>
      </c>
      <c r="M215" s="21">
        <f t="shared" si="11"/>
        <v>0.49899999999999994</v>
      </c>
      <c r="N215" s="19">
        <v>4.3</v>
      </c>
    </row>
    <row r="216" spans="1:14" x14ac:dyDescent="0.25">
      <c r="A216" s="16">
        <v>215</v>
      </c>
      <c r="B216" s="16" t="s">
        <v>64</v>
      </c>
      <c r="C216" s="16" t="s">
        <v>35</v>
      </c>
      <c r="D216" s="16" t="s">
        <v>16</v>
      </c>
      <c r="E216" s="16" t="s">
        <v>17</v>
      </c>
      <c r="F216" s="16" t="s">
        <v>22</v>
      </c>
      <c r="G216" s="16" t="s">
        <v>55</v>
      </c>
      <c r="H216" s="16">
        <v>57</v>
      </c>
      <c r="I216" s="17">
        <v>35</v>
      </c>
      <c r="J216" s="17">
        <f t="shared" si="9"/>
        <v>1995</v>
      </c>
      <c r="K216" s="17">
        <f>J216*0.408</f>
        <v>813.95999999999992</v>
      </c>
      <c r="L216" s="17">
        <f t="shared" si="10"/>
        <v>1181.04</v>
      </c>
      <c r="M216" s="18">
        <f t="shared" si="11"/>
        <v>0.59199999999999997</v>
      </c>
      <c r="N216" s="16">
        <v>3.6</v>
      </c>
    </row>
    <row r="217" spans="1:14" x14ac:dyDescent="0.25">
      <c r="A217" s="19">
        <v>216</v>
      </c>
      <c r="B217" s="19" t="s">
        <v>64</v>
      </c>
      <c r="C217" s="19" t="s">
        <v>33</v>
      </c>
      <c r="D217" s="19" t="s">
        <v>30</v>
      </c>
      <c r="E217" s="19" t="s">
        <v>36</v>
      </c>
      <c r="F217" s="19" t="s">
        <v>22</v>
      </c>
      <c r="G217" s="19" t="s">
        <v>55</v>
      </c>
      <c r="H217" s="19">
        <v>22</v>
      </c>
      <c r="I217" s="20">
        <v>35</v>
      </c>
      <c r="J217" s="20">
        <f t="shared" si="9"/>
        <v>770</v>
      </c>
      <c r="K217" s="20">
        <f>J217*0.518</f>
        <v>398.86</v>
      </c>
      <c r="L217" s="20">
        <f t="shared" si="10"/>
        <v>371.14</v>
      </c>
      <c r="M217" s="21">
        <f t="shared" si="11"/>
        <v>0.48199999999999998</v>
      </c>
      <c r="N217" s="19">
        <v>2.6</v>
      </c>
    </row>
    <row r="218" spans="1:14" x14ac:dyDescent="0.25">
      <c r="A218" s="16">
        <v>217</v>
      </c>
      <c r="B218" s="16" t="s">
        <v>64</v>
      </c>
      <c r="C218" s="16" t="s">
        <v>43</v>
      </c>
      <c r="D218" s="16" t="s">
        <v>16</v>
      </c>
      <c r="E218" s="16" t="s">
        <v>17</v>
      </c>
      <c r="F218" s="16" t="s">
        <v>24</v>
      </c>
      <c r="G218" s="16" t="s">
        <v>32</v>
      </c>
      <c r="H218" s="16">
        <v>75</v>
      </c>
      <c r="I218" s="17">
        <v>35</v>
      </c>
      <c r="J218" s="17">
        <f t="shared" si="9"/>
        <v>2625</v>
      </c>
      <c r="K218" s="17">
        <f>J218*0.487</f>
        <v>1278.375</v>
      </c>
      <c r="L218" s="17">
        <f t="shared" si="10"/>
        <v>1346.625</v>
      </c>
      <c r="M218" s="18">
        <f t="shared" si="11"/>
        <v>0.51300000000000001</v>
      </c>
      <c r="N218" s="16">
        <v>4.9000000000000004</v>
      </c>
    </row>
    <row r="219" spans="1:14" x14ac:dyDescent="0.25">
      <c r="A219" s="19">
        <v>218</v>
      </c>
      <c r="B219" s="19" t="s">
        <v>64</v>
      </c>
      <c r="C219" s="19" t="s">
        <v>43</v>
      </c>
      <c r="D219" s="19" t="s">
        <v>26</v>
      </c>
      <c r="E219" s="19" t="s">
        <v>49</v>
      </c>
      <c r="F219" s="19" t="s">
        <v>18</v>
      </c>
      <c r="G219" s="19" t="s">
        <v>19</v>
      </c>
      <c r="H219" s="19">
        <v>41</v>
      </c>
      <c r="I219" s="20">
        <v>25</v>
      </c>
      <c r="J219" s="20">
        <f t="shared" si="9"/>
        <v>1025</v>
      </c>
      <c r="K219" s="20">
        <f>J219*0.466</f>
        <v>477.65000000000003</v>
      </c>
      <c r="L219" s="20">
        <f t="shared" si="10"/>
        <v>547.34999999999991</v>
      </c>
      <c r="M219" s="21">
        <f t="shared" si="11"/>
        <v>0.53399999999999992</v>
      </c>
      <c r="N219" s="19">
        <v>3.2</v>
      </c>
    </row>
    <row r="220" spans="1:14" x14ac:dyDescent="0.25">
      <c r="A220" s="16">
        <v>219</v>
      </c>
      <c r="B220" s="16" t="s">
        <v>64</v>
      </c>
      <c r="C220" s="16" t="s">
        <v>15</v>
      </c>
      <c r="D220" s="16" t="s">
        <v>26</v>
      </c>
      <c r="E220" s="16" t="s">
        <v>36</v>
      </c>
      <c r="F220" s="16" t="s">
        <v>24</v>
      </c>
      <c r="G220" s="16" t="s">
        <v>37</v>
      </c>
      <c r="H220" s="16">
        <v>29</v>
      </c>
      <c r="I220" s="17">
        <v>30</v>
      </c>
      <c r="J220" s="17">
        <f t="shared" si="9"/>
        <v>870</v>
      </c>
      <c r="K220" s="17">
        <f>J220*0.44</f>
        <v>382.8</v>
      </c>
      <c r="L220" s="17">
        <f t="shared" si="10"/>
        <v>487.2</v>
      </c>
      <c r="M220" s="18">
        <f t="shared" si="11"/>
        <v>0.55999999999999994</v>
      </c>
      <c r="N220" s="16">
        <v>3.9</v>
      </c>
    </row>
    <row r="221" spans="1:14" x14ac:dyDescent="0.25">
      <c r="A221" s="19">
        <v>220</v>
      </c>
      <c r="B221" s="19" t="s">
        <v>64</v>
      </c>
      <c r="C221" s="19" t="s">
        <v>35</v>
      </c>
      <c r="D221" s="19" t="s">
        <v>30</v>
      </c>
      <c r="E221" s="19" t="s">
        <v>17</v>
      </c>
      <c r="F221" s="19" t="s">
        <v>24</v>
      </c>
      <c r="G221" s="19" t="s">
        <v>32</v>
      </c>
      <c r="H221" s="19">
        <v>54</v>
      </c>
      <c r="I221" s="20">
        <v>35</v>
      </c>
      <c r="J221" s="20">
        <f t="shared" si="9"/>
        <v>1890</v>
      </c>
      <c r="K221" s="20">
        <f>J221*0.448</f>
        <v>846.72</v>
      </c>
      <c r="L221" s="20">
        <f t="shared" si="10"/>
        <v>1043.28</v>
      </c>
      <c r="M221" s="21">
        <f t="shared" si="11"/>
        <v>0.55199999999999994</v>
      </c>
      <c r="N221" s="19">
        <v>3.4</v>
      </c>
    </row>
    <row r="222" spans="1:14" x14ac:dyDescent="0.25">
      <c r="A222" s="16">
        <v>221</v>
      </c>
      <c r="B222" s="16" t="s">
        <v>65</v>
      </c>
      <c r="C222" s="16" t="s">
        <v>29</v>
      </c>
      <c r="D222" s="16" t="s">
        <v>30</v>
      </c>
      <c r="E222" s="16" t="s">
        <v>21</v>
      </c>
      <c r="F222" s="16" t="s">
        <v>41</v>
      </c>
      <c r="G222" s="16" t="s">
        <v>50</v>
      </c>
      <c r="H222" s="16">
        <v>80</v>
      </c>
      <c r="I222" s="17">
        <v>110</v>
      </c>
      <c r="J222" s="17">
        <f t="shared" si="9"/>
        <v>8800</v>
      </c>
      <c r="K222" s="17">
        <f>J222*0.525</f>
        <v>4620</v>
      </c>
      <c r="L222" s="17">
        <f t="shared" si="10"/>
        <v>4180</v>
      </c>
      <c r="M222" s="18">
        <f t="shared" si="11"/>
        <v>0.47499999999999998</v>
      </c>
      <c r="N222" s="16">
        <v>2.9</v>
      </c>
    </row>
    <row r="223" spans="1:14" x14ac:dyDescent="0.25">
      <c r="A223" s="19">
        <v>222</v>
      </c>
      <c r="B223" s="19" t="s">
        <v>65</v>
      </c>
      <c r="C223" s="19" t="s">
        <v>43</v>
      </c>
      <c r="D223" s="19" t="s">
        <v>16</v>
      </c>
      <c r="E223" s="19" t="s">
        <v>36</v>
      </c>
      <c r="F223" s="19" t="s">
        <v>22</v>
      </c>
      <c r="G223" s="19" t="s">
        <v>23</v>
      </c>
      <c r="H223" s="19">
        <v>39</v>
      </c>
      <c r="I223" s="20">
        <v>25</v>
      </c>
      <c r="J223" s="20">
        <f t="shared" si="9"/>
        <v>975</v>
      </c>
      <c r="K223" s="20">
        <f>J223*0.427</f>
        <v>416.32499999999999</v>
      </c>
      <c r="L223" s="20">
        <f t="shared" si="10"/>
        <v>558.67499999999995</v>
      </c>
      <c r="M223" s="21">
        <f t="shared" si="11"/>
        <v>0.57299999999999995</v>
      </c>
      <c r="N223" s="19">
        <v>3.7</v>
      </c>
    </row>
    <row r="224" spans="1:14" x14ac:dyDescent="0.25">
      <c r="A224" s="16">
        <v>223</v>
      </c>
      <c r="B224" s="16" t="s">
        <v>65</v>
      </c>
      <c r="C224" s="16" t="s">
        <v>29</v>
      </c>
      <c r="D224" s="16" t="s">
        <v>30</v>
      </c>
      <c r="E224" s="16" t="s">
        <v>31</v>
      </c>
      <c r="F224" s="16" t="s">
        <v>18</v>
      </c>
      <c r="G224" s="16" t="s">
        <v>54</v>
      </c>
      <c r="H224" s="16">
        <v>32</v>
      </c>
      <c r="I224" s="17">
        <v>40</v>
      </c>
      <c r="J224" s="17">
        <f t="shared" si="9"/>
        <v>1280</v>
      </c>
      <c r="K224" s="17">
        <f>J224*0.401</f>
        <v>513.28</v>
      </c>
      <c r="L224" s="17">
        <f t="shared" si="10"/>
        <v>766.72</v>
      </c>
      <c r="M224" s="18">
        <f t="shared" si="11"/>
        <v>0.59899999999999998</v>
      </c>
      <c r="N224" s="16">
        <v>3.3</v>
      </c>
    </row>
    <row r="225" spans="1:14" x14ac:dyDescent="0.25">
      <c r="A225" s="19">
        <v>224</v>
      </c>
      <c r="B225" s="19" t="s">
        <v>65</v>
      </c>
      <c r="C225" s="19" t="s">
        <v>15</v>
      </c>
      <c r="D225" s="19" t="s">
        <v>30</v>
      </c>
      <c r="E225" s="19" t="s">
        <v>49</v>
      </c>
      <c r="F225" s="19" t="s">
        <v>27</v>
      </c>
      <c r="G225" s="19" t="s">
        <v>51</v>
      </c>
      <c r="H225" s="19">
        <v>79</v>
      </c>
      <c r="I225" s="20">
        <v>55</v>
      </c>
      <c r="J225" s="20">
        <f t="shared" si="9"/>
        <v>4345</v>
      </c>
      <c r="K225" s="20">
        <f>J225*0.409</f>
        <v>1777.1049999999998</v>
      </c>
      <c r="L225" s="20">
        <f t="shared" si="10"/>
        <v>2567.8950000000004</v>
      </c>
      <c r="M225" s="21">
        <f t="shared" si="11"/>
        <v>0.59100000000000008</v>
      </c>
      <c r="N225" s="19">
        <v>4.2</v>
      </c>
    </row>
    <row r="226" spans="1:14" x14ac:dyDescent="0.25">
      <c r="A226" s="16">
        <v>225</v>
      </c>
      <c r="B226" s="16" t="s">
        <v>65</v>
      </c>
      <c r="C226" s="16" t="s">
        <v>15</v>
      </c>
      <c r="D226" s="16" t="s">
        <v>26</v>
      </c>
      <c r="E226" s="16" t="s">
        <v>31</v>
      </c>
      <c r="F226" s="16" t="s">
        <v>18</v>
      </c>
      <c r="G226" s="16" t="s">
        <v>54</v>
      </c>
      <c r="H226" s="16">
        <v>58</v>
      </c>
      <c r="I226" s="17">
        <v>40</v>
      </c>
      <c r="J226" s="17">
        <f t="shared" si="9"/>
        <v>2320</v>
      </c>
      <c r="K226" s="17">
        <f>J226*0.523</f>
        <v>1213.3600000000001</v>
      </c>
      <c r="L226" s="17">
        <f t="shared" si="10"/>
        <v>1106.6399999999999</v>
      </c>
      <c r="M226" s="18">
        <f t="shared" si="11"/>
        <v>0.47699999999999992</v>
      </c>
      <c r="N226" s="16">
        <v>4.8</v>
      </c>
    </row>
    <row r="227" spans="1:14" x14ac:dyDescent="0.25">
      <c r="A227" s="19">
        <v>226</v>
      </c>
      <c r="B227" s="19" t="s">
        <v>65</v>
      </c>
      <c r="C227" s="19" t="s">
        <v>39</v>
      </c>
      <c r="D227" s="19" t="s">
        <v>26</v>
      </c>
      <c r="E227" s="19" t="s">
        <v>49</v>
      </c>
      <c r="F227" s="19" t="s">
        <v>27</v>
      </c>
      <c r="G227" s="19" t="s">
        <v>28</v>
      </c>
      <c r="H227" s="19">
        <v>44</v>
      </c>
      <c r="I227" s="20">
        <v>45</v>
      </c>
      <c r="J227" s="20">
        <f t="shared" si="9"/>
        <v>1980</v>
      </c>
      <c r="K227" s="20">
        <f>J227*0.525</f>
        <v>1039.5</v>
      </c>
      <c r="L227" s="20">
        <f t="shared" si="10"/>
        <v>940.5</v>
      </c>
      <c r="M227" s="21">
        <f t="shared" si="11"/>
        <v>0.47499999999999998</v>
      </c>
      <c r="N227" s="19">
        <v>4.5999999999999996</v>
      </c>
    </row>
    <row r="228" spans="1:14" x14ac:dyDescent="0.25">
      <c r="A228" s="16">
        <v>227</v>
      </c>
      <c r="B228" s="16" t="s">
        <v>65</v>
      </c>
      <c r="C228" s="16" t="s">
        <v>20</v>
      </c>
      <c r="D228" s="16" t="s">
        <v>30</v>
      </c>
      <c r="E228" s="16" t="s">
        <v>49</v>
      </c>
      <c r="F228" s="16" t="s">
        <v>24</v>
      </c>
      <c r="G228" s="16" t="s">
        <v>37</v>
      </c>
      <c r="H228" s="16">
        <v>29</v>
      </c>
      <c r="I228" s="17">
        <v>30</v>
      </c>
      <c r="J228" s="17">
        <f t="shared" si="9"/>
        <v>870</v>
      </c>
      <c r="K228" s="17">
        <f>J228*0.497</f>
        <v>432.39</v>
      </c>
      <c r="L228" s="17">
        <f t="shared" si="10"/>
        <v>437.61</v>
      </c>
      <c r="M228" s="18">
        <f t="shared" si="11"/>
        <v>0.503</v>
      </c>
      <c r="N228" s="16">
        <v>2.5</v>
      </c>
    </row>
    <row r="229" spans="1:14" x14ac:dyDescent="0.25">
      <c r="A229" s="19">
        <v>228</v>
      </c>
      <c r="B229" s="19" t="s">
        <v>65</v>
      </c>
      <c r="C229" s="19" t="s">
        <v>39</v>
      </c>
      <c r="D229" s="19" t="s">
        <v>16</v>
      </c>
      <c r="E229" s="19" t="s">
        <v>21</v>
      </c>
      <c r="F229" s="19" t="s">
        <v>41</v>
      </c>
      <c r="G229" s="19" t="s">
        <v>50</v>
      </c>
      <c r="H229" s="19">
        <v>34</v>
      </c>
      <c r="I229" s="20">
        <v>110</v>
      </c>
      <c r="J229" s="20">
        <f t="shared" si="9"/>
        <v>3740</v>
      </c>
      <c r="K229" s="20">
        <f>J229*0.399</f>
        <v>1492.26</v>
      </c>
      <c r="L229" s="20">
        <f t="shared" si="10"/>
        <v>2247.7399999999998</v>
      </c>
      <c r="M229" s="21">
        <f t="shared" si="11"/>
        <v>0.60099999999999998</v>
      </c>
      <c r="N229" s="19">
        <v>4.5</v>
      </c>
    </row>
    <row r="230" spans="1:14" x14ac:dyDescent="0.25">
      <c r="A230" s="16">
        <v>229</v>
      </c>
      <c r="B230" s="16" t="s">
        <v>65</v>
      </c>
      <c r="C230" s="16" t="s">
        <v>29</v>
      </c>
      <c r="D230" s="16" t="s">
        <v>30</v>
      </c>
      <c r="E230" s="16" t="s">
        <v>21</v>
      </c>
      <c r="F230" s="16" t="s">
        <v>27</v>
      </c>
      <c r="G230" s="16" t="s">
        <v>52</v>
      </c>
      <c r="H230" s="16">
        <v>76</v>
      </c>
      <c r="I230" s="17">
        <v>35</v>
      </c>
      <c r="J230" s="17">
        <f t="shared" si="9"/>
        <v>2660</v>
      </c>
      <c r="K230" s="17">
        <f>J230*0.538</f>
        <v>1431.0800000000002</v>
      </c>
      <c r="L230" s="17">
        <f t="shared" si="10"/>
        <v>1228.9199999999998</v>
      </c>
      <c r="M230" s="18">
        <f t="shared" si="11"/>
        <v>0.46199999999999997</v>
      </c>
      <c r="N230" s="16">
        <v>3.9</v>
      </c>
    </row>
    <row r="231" spans="1:14" x14ac:dyDescent="0.25">
      <c r="A231" s="19">
        <v>230</v>
      </c>
      <c r="B231" s="19" t="s">
        <v>65</v>
      </c>
      <c r="C231" s="19" t="s">
        <v>29</v>
      </c>
      <c r="D231" s="19" t="s">
        <v>30</v>
      </c>
      <c r="E231" s="19" t="s">
        <v>31</v>
      </c>
      <c r="F231" s="19" t="s">
        <v>22</v>
      </c>
      <c r="G231" s="19" t="s">
        <v>23</v>
      </c>
      <c r="H231" s="19">
        <v>11</v>
      </c>
      <c r="I231" s="20">
        <v>25</v>
      </c>
      <c r="J231" s="20">
        <f t="shared" si="9"/>
        <v>275</v>
      </c>
      <c r="K231" s="20">
        <f>J231*0.549</f>
        <v>150.97500000000002</v>
      </c>
      <c r="L231" s="20">
        <f t="shared" si="10"/>
        <v>124.02499999999998</v>
      </c>
      <c r="M231" s="21">
        <f t="shared" si="11"/>
        <v>0.4509999999999999</v>
      </c>
      <c r="N231" s="19">
        <v>3.1</v>
      </c>
    </row>
    <row r="232" spans="1:14" x14ac:dyDescent="0.25">
      <c r="A232" s="16">
        <v>231</v>
      </c>
      <c r="B232" s="16" t="s">
        <v>65</v>
      </c>
      <c r="C232" s="16" t="s">
        <v>43</v>
      </c>
      <c r="D232" s="16" t="s">
        <v>16</v>
      </c>
      <c r="E232" s="16" t="s">
        <v>36</v>
      </c>
      <c r="F232" s="16" t="s">
        <v>22</v>
      </c>
      <c r="G232" s="16" t="s">
        <v>55</v>
      </c>
      <c r="H232" s="16">
        <v>62</v>
      </c>
      <c r="I232" s="17">
        <v>35</v>
      </c>
      <c r="J232" s="17">
        <f t="shared" si="9"/>
        <v>2170</v>
      </c>
      <c r="K232" s="17">
        <f>J232*0.493</f>
        <v>1069.81</v>
      </c>
      <c r="L232" s="17">
        <f t="shared" si="10"/>
        <v>1100.19</v>
      </c>
      <c r="M232" s="18">
        <f t="shared" si="11"/>
        <v>0.50700000000000001</v>
      </c>
      <c r="N232" s="16">
        <v>3</v>
      </c>
    </row>
    <row r="233" spans="1:14" x14ac:dyDescent="0.25">
      <c r="A233" s="19">
        <v>232</v>
      </c>
      <c r="B233" s="19" t="s">
        <v>65</v>
      </c>
      <c r="C233" s="19" t="s">
        <v>33</v>
      </c>
      <c r="D233" s="19" t="s">
        <v>30</v>
      </c>
      <c r="E233" s="19" t="s">
        <v>49</v>
      </c>
      <c r="F233" s="19" t="s">
        <v>22</v>
      </c>
      <c r="G233" s="19" t="s">
        <v>55</v>
      </c>
      <c r="H233" s="19">
        <v>51</v>
      </c>
      <c r="I233" s="20">
        <v>35</v>
      </c>
      <c r="J233" s="20">
        <f t="shared" si="9"/>
        <v>1785</v>
      </c>
      <c r="K233" s="20">
        <f>J233*0.517</f>
        <v>922.84500000000003</v>
      </c>
      <c r="L233" s="20">
        <f t="shared" si="10"/>
        <v>862.15499999999997</v>
      </c>
      <c r="M233" s="21">
        <f t="shared" si="11"/>
        <v>0.48299999999999998</v>
      </c>
      <c r="N233" s="19">
        <v>4.9000000000000004</v>
      </c>
    </row>
    <row r="234" spans="1:14" x14ac:dyDescent="0.25">
      <c r="A234" s="16">
        <v>233</v>
      </c>
      <c r="B234" s="16" t="s">
        <v>65</v>
      </c>
      <c r="C234" s="16" t="s">
        <v>29</v>
      </c>
      <c r="D234" s="16" t="s">
        <v>30</v>
      </c>
      <c r="E234" s="16" t="s">
        <v>49</v>
      </c>
      <c r="F234" s="16" t="s">
        <v>22</v>
      </c>
      <c r="G234" s="16" t="s">
        <v>40</v>
      </c>
      <c r="H234" s="16">
        <v>20</v>
      </c>
      <c r="I234" s="17">
        <v>30</v>
      </c>
      <c r="J234" s="17">
        <f t="shared" si="9"/>
        <v>600</v>
      </c>
      <c r="K234" s="17">
        <f>J234*0.371</f>
        <v>222.6</v>
      </c>
      <c r="L234" s="17">
        <f t="shared" si="10"/>
        <v>377.4</v>
      </c>
      <c r="M234" s="18">
        <f t="shared" si="11"/>
        <v>0.629</v>
      </c>
      <c r="N234" s="16">
        <v>4.4000000000000004</v>
      </c>
    </row>
    <row r="235" spans="1:14" x14ac:dyDescent="0.25">
      <c r="A235" s="19">
        <v>234</v>
      </c>
      <c r="B235" s="19" t="s">
        <v>65</v>
      </c>
      <c r="C235" s="19" t="s">
        <v>43</v>
      </c>
      <c r="D235" s="19" t="s">
        <v>16</v>
      </c>
      <c r="E235" s="19" t="s">
        <v>21</v>
      </c>
      <c r="F235" s="19" t="s">
        <v>18</v>
      </c>
      <c r="G235" s="19" t="s">
        <v>54</v>
      </c>
      <c r="H235" s="19">
        <v>35</v>
      </c>
      <c r="I235" s="20">
        <v>40</v>
      </c>
      <c r="J235" s="20">
        <f t="shared" si="9"/>
        <v>1400</v>
      </c>
      <c r="K235" s="20">
        <f>J235*0.376</f>
        <v>526.4</v>
      </c>
      <c r="L235" s="20">
        <f t="shared" si="10"/>
        <v>873.6</v>
      </c>
      <c r="M235" s="21">
        <f t="shared" si="11"/>
        <v>0.624</v>
      </c>
      <c r="N235" s="19">
        <v>3.7</v>
      </c>
    </row>
    <row r="236" spans="1:14" x14ac:dyDescent="0.25">
      <c r="A236" s="16">
        <v>235</v>
      </c>
      <c r="B236" s="16" t="s">
        <v>65</v>
      </c>
      <c r="C236" s="16" t="s">
        <v>39</v>
      </c>
      <c r="D236" s="16" t="s">
        <v>16</v>
      </c>
      <c r="E236" s="16" t="s">
        <v>49</v>
      </c>
      <c r="F236" s="16" t="s">
        <v>18</v>
      </c>
      <c r="G236" s="16" t="s">
        <v>54</v>
      </c>
      <c r="H236" s="16">
        <v>52</v>
      </c>
      <c r="I236" s="17">
        <v>40</v>
      </c>
      <c r="J236" s="17">
        <f t="shared" si="9"/>
        <v>2080</v>
      </c>
      <c r="K236" s="17">
        <f>J236*0.363</f>
        <v>755.04</v>
      </c>
      <c r="L236" s="17">
        <f t="shared" si="10"/>
        <v>1324.96</v>
      </c>
      <c r="M236" s="18">
        <f t="shared" si="11"/>
        <v>0.63700000000000001</v>
      </c>
      <c r="N236" s="16">
        <v>4.2</v>
      </c>
    </row>
    <row r="237" spans="1:14" x14ac:dyDescent="0.25">
      <c r="A237" s="19">
        <v>236</v>
      </c>
      <c r="B237" s="19" t="s">
        <v>65</v>
      </c>
      <c r="C237" s="19" t="s">
        <v>43</v>
      </c>
      <c r="D237" s="19" t="s">
        <v>26</v>
      </c>
      <c r="E237" s="19" t="s">
        <v>49</v>
      </c>
      <c r="F237" s="19" t="s">
        <v>22</v>
      </c>
      <c r="G237" s="19" t="s">
        <v>55</v>
      </c>
      <c r="H237" s="19">
        <v>61</v>
      </c>
      <c r="I237" s="20">
        <v>35</v>
      </c>
      <c r="J237" s="20">
        <f t="shared" si="9"/>
        <v>2135</v>
      </c>
      <c r="K237" s="20">
        <f>J237*0.541</f>
        <v>1155.0350000000001</v>
      </c>
      <c r="L237" s="20">
        <f t="shared" si="10"/>
        <v>979.96499999999992</v>
      </c>
      <c r="M237" s="21">
        <f t="shared" si="11"/>
        <v>0.45899999999999996</v>
      </c>
      <c r="N237" s="19">
        <v>3.3</v>
      </c>
    </row>
    <row r="238" spans="1:14" x14ac:dyDescent="0.25">
      <c r="A238" s="16">
        <v>237</v>
      </c>
      <c r="B238" s="16" t="s">
        <v>65</v>
      </c>
      <c r="C238" s="16" t="s">
        <v>20</v>
      </c>
      <c r="D238" s="16" t="s">
        <v>30</v>
      </c>
      <c r="E238" s="16" t="s">
        <v>36</v>
      </c>
      <c r="F238" s="16" t="s">
        <v>27</v>
      </c>
      <c r="G238" s="16" t="s">
        <v>28</v>
      </c>
      <c r="H238" s="16">
        <v>50</v>
      </c>
      <c r="I238" s="17">
        <v>45</v>
      </c>
      <c r="J238" s="17">
        <f t="shared" si="9"/>
        <v>2250</v>
      </c>
      <c r="K238" s="17">
        <f>J238*0.393</f>
        <v>884.25</v>
      </c>
      <c r="L238" s="17">
        <f t="shared" si="10"/>
        <v>1365.75</v>
      </c>
      <c r="M238" s="18">
        <f t="shared" si="11"/>
        <v>0.60699999999999998</v>
      </c>
      <c r="N238" s="16">
        <v>3.3</v>
      </c>
    </row>
    <row r="239" spans="1:14" x14ac:dyDescent="0.25">
      <c r="A239" s="19">
        <v>238</v>
      </c>
      <c r="B239" s="19" t="s">
        <v>65</v>
      </c>
      <c r="C239" s="19" t="s">
        <v>39</v>
      </c>
      <c r="D239" s="19" t="s">
        <v>30</v>
      </c>
      <c r="E239" s="19" t="s">
        <v>21</v>
      </c>
      <c r="F239" s="19" t="s">
        <v>22</v>
      </c>
      <c r="G239" s="19" t="s">
        <v>45</v>
      </c>
      <c r="H239" s="19">
        <v>64</v>
      </c>
      <c r="I239" s="20">
        <v>20</v>
      </c>
      <c r="J239" s="20">
        <f t="shared" si="9"/>
        <v>1280</v>
      </c>
      <c r="K239" s="20">
        <f>J239*0.416</f>
        <v>532.48</v>
      </c>
      <c r="L239" s="20">
        <f t="shared" si="10"/>
        <v>747.52</v>
      </c>
      <c r="M239" s="21">
        <f t="shared" si="11"/>
        <v>0.58399999999999996</v>
      </c>
      <c r="N239" s="19">
        <v>3.9</v>
      </c>
    </row>
    <row r="240" spans="1:14" x14ac:dyDescent="0.25">
      <c r="A240" s="16">
        <v>239</v>
      </c>
      <c r="B240" s="16" t="s">
        <v>65</v>
      </c>
      <c r="C240" s="16" t="s">
        <v>15</v>
      </c>
      <c r="D240" s="16" t="s">
        <v>26</v>
      </c>
      <c r="E240" s="16" t="s">
        <v>17</v>
      </c>
      <c r="F240" s="16" t="s">
        <v>18</v>
      </c>
      <c r="G240" s="16" t="s">
        <v>54</v>
      </c>
      <c r="H240" s="16">
        <v>36</v>
      </c>
      <c r="I240" s="17">
        <v>40</v>
      </c>
      <c r="J240" s="17">
        <f t="shared" si="9"/>
        <v>1440</v>
      </c>
      <c r="K240" s="17">
        <f>J240*0.501</f>
        <v>721.44</v>
      </c>
      <c r="L240" s="17">
        <f t="shared" si="10"/>
        <v>718.56</v>
      </c>
      <c r="M240" s="18">
        <f t="shared" si="11"/>
        <v>0.49899999999999994</v>
      </c>
      <c r="N240" s="16">
        <v>3</v>
      </c>
    </row>
    <row r="241" spans="1:14" x14ac:dyDescent="0.25">
      <c r="A241" s="19">
        <v>240</v>
      </c>
      <c r="B241" s="19" t="s">
        <v>65</v>
      </c>
      <c r="C241" s="19" t="s">
        <v>43</v>
      </c>
      <c r="D241" s="19" t="s">
        <v>26</v>
      </c>
      <c r="E241" s="19" t="s">
        <v>31</v>
      </c>
      <c r="F241" s="19" t="s">
        <v>27</v>
      </c>
      <c r="G241" s="19" t="s">
        <v>28</v>
      </c>
      <c r="H241" s="19">
        <v>5</v>
      </c>
      <c r="I241" s="20">
        <v>45</v>
      </c>
      <c r="J241" s="20">
        <f t="shared" si="9"/>
        <v>225</v>
      </c>
      <c r="K241" s="20">
        <f>J241*0.487</f>
        <v>109.575</v>
      </c>
      <c r="L241" s="20">
        <f t="shared" si="10"/>
        <v>115.425</v>
      </c>
      <c r="M241" s="21">
        <f t="shared" si="11"/>
        <v>0.51300000000000001</v>
      </c>
      <c r="N241" s="19">
        <v>3.5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2"/>
  <sheetViews>
    <sheetView showGridLines="0" showRowColHeaders="0" rightToLeft="1" tabSelected="1" zoomScale="60" zoomScaleNormal="60" workbookViewId="0">
      <selection activeCell="R23" sqref="R23"/>
    </sheetView>
  </sheetViews>
  <sheetFormatPr defaultColWidth="8.7109375" defaultRowHeight="15" x14ac:dyDescent="0.25"/>
  <cols>
    <col min="1" max="1" width="18" customWidth="1"/>
    <col min="2" max="3" width="20" customWidth="1"/>
    <col min="4" max="4" width="14" customWidth="1"/>
    <col min="5" max="5" width="3" customWidth="1"/>
    <col min="6" max="6" width="18" customWidth="1"/>
    <col min="7" max="8" width="20" customWidth="1"/>
    <col min="9" max="9" width="14" customWidth="1"/>
    <col min="10" max="11" width="20" customWidth="1"/>
    <col min="12" max="12" width="3" customWidth="1"/>
  </cols>
  <sheetData>
    <row r="1" spans="1:12" ht="48" customHeight="1" x14ac:dyDescent="0.25">
      <c r="A1" s="31" t="s">
        <v>79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2" ht="25.5" customHeight="1" x14ac:dyDescent="0.25">
      <c r="A3" s="13" t="s">
        <v>66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5" spans="1:12" ht="21.75" customHeight="1" x14ac:dyDescent="0.25">
      <c r="A5" s="12" t="s">
        <v>67</v>
      </c>
      <c r="B5" s="12"/>
      <c r="C5" s="12"/>
      <c r="D5" s="11" t="s">
        <v>68</v>
      </c>
      <c r="E5" s="11"/>
      <c r="F5" s="11"/>
      <c r="G5" s="10" t="s">
        <v>69</v>
      </c>
      <c r="H5" s="10"/>
      <c r="I5" s="10"/>
      <c r="J5" s="9" t="s">
        <v>70</v>
      </c>
      <c r="K5" s="9"/>
      <c r="L5" s="9"/>
    </row>
    <row r="6" spans="1:12" ht="39.75" customHeight="1" x14ac:dyDescent="0.25">
      <c r="A6" s="8">
        <f>SUM('📋 Raw Data'!J2:J241)</f>
        <v>519220</v>
      </c>
      <c r="B6" s="8"/>
      <c r="C6" s="8"/>
      <c r="D6" s="7">
        <f>SUM('📋 Raw Data'!L2:L241)</f>
        <v>287954.27000000008</v>
      </c>
      <c r="E6" s="7"/>
      <c r="F6" s="7"/>
      <c r="G6" s="6">
        <f>AVERAGE('📋 Raw Data'!N2:N241)</f>
        <v>3.7470833333333347</v>
      </c>
      <c r="H6" s="6"/>
      <c r="I6" s="6"/>
      <c r="J6" s="5">
        <f>AVERAGE('📋 Raw Data'!M2:M241)</f>
        <v>0.55406666666666671</v>
      </c>
      <c r="K6" s="5"/>
      <c r="L6" s="5"/>
    </row>
    <row r="7" spans="1:12" ht="12" customHeight="1" x14ac:dyDescent="0.25">
      <c r="A7" s="4"/>
      <c r="B7" s="4"/>
      <c r="C7" s="4"/>
      <c r="D7" s="3"/>
      <c r="E7" s="3"/>
      <c r="F7" s="3"/>
      <c r="G7" s="2"/>
      <c r="H7" s="2"/>
      <c r="I7" s="2"/>
      <c r="J7" s="1"/>
      <c r="K7" s="1"/>
      <c r="L7" s="1"/>
    </row>
    <row r="9" spans="1:12" ht="25.5" customHeight="1" x14ac:dyDescent="0.25">
      <c r="A9" s="27" t="s">
        <v>71</v>
      </c>
      <c r="B9" s="27"/>
      <c r="C9" s="27"/>
      <c r="D9" s="27"/>
      <c r="F9" s="28" t="s">
        <v>72</v>
      </c>
      <c r="G9" s="28"/>
      <c r="H9" s="28"/>
      <c r="I9" s="28"/>
    </row>
    <row r="10" spans="1:12" x14ac:dyDescent="0.25">
      <c r="A10" s="22" t="s">
        <v>4</v>
      </c>
      <c r="B10" s="22" t="s">
        <v>73</v>
      </c>
      <c r="C10" s="22" t="s">
        <v>74</v>
      </c>
      <c r="D10" s="22" t="s">
        <v>75</v>
      </c>
      <c r="F10" s="22" t="s">
        <v>5</v>
      </c>
      <c r="G10" s="22" t="s">
        <v>73</v>
      </c>
      <c r="H10" s="22" t="s">
        <v>74</v>
      </c>
      <c r="I10" s="22" t="s">
        <v>76</v>
      </c>
    </row>
    <row r="11" spans="1:12" x14ac:dyDescent="0.25">
      <c r="A11" s="23" t="s">
        <v>49</v>
      </c>
      <c r="B11" s="20">
        <f>SUMIF('📋 Raw Data'!E$2:E$241,A11,'📋 Raw Data'!J$2:J$241)</f>
        <v>89960</v>
      </c>
      <c r="C11" s="20">
        <f>SUMIF('📋 Raw Data'!E$2:E$241,A11,'📋 Raw Data'!L$2:L$241)</f>
        <v>50021.689999999988</v>
      </c>
      <c r="D11" s="24">
        <f>AVERAGEIF('📋 Raw Data'!E$2:E$241,A11,'📋 Raw Data'!N$2:N$241)</f>
        <v>3.6877551020408159</v>
      </c>
      <c r="F11" s="23" t="s">
        <v>41</v>
      </c>
      <c r="G11" s="20">
        <f>SUMIF('📋 Raw Data'!F$2:F$241,F11,'📋 Raw Data'!J$2:J$241)</f>
        <v>193110</v>
      </c>
      <c r="H11" s="20">
        <f>SUMIF('📋 Raw Data'!F$2:F$241,F11,'📋 Raw Data'!L$2:L$241)</f>
        <v>105735.08500000002</v>
      </c>
      <c r="I11" s="21">
        <f>IF(G11=0,0,H11/G11)</f>
        <v>0.54753811299259503</v>
      </c>
    </row>
    <row r="12" spans="1:12" x14ac:dyDescent="0.25">
      <c r="A12" s="25" t="s">
        <v>21</v>
      </c>
      <c r="B12" s="17">
        <f>SUMIF('📋 Raw Data'!E$2:E$241,A12,'📋 Raw Data'!J$2:J$241)</f>
        <v>114485</v>
      </c>
      <c r="C12" s="17">
        <f>SUMIF('📋 Raw Data'!E$2:E$241,A12,'📋 Raw Data'!L$2:L$241)</f>
        <v>63410.159999999996</v>
      </c>
      <c r="D12" s="26">
        <f>AVERAGEIF('📋 Raw Data'!E$2:E$241,A12,'📋 Raw Data'!N$2:N$241)</f>
        <v>3.9384615384615391</v>
      </c>
      <c r="F12" s="25" t="s">
        <v>22</v>
      </c>
      <c r="G12" s="17">
        <f>SUMIF('📋 Raw Data'!F$2:F$241,F12,'📋 Raw Data'!J$2:J$241)</f>
        <v>59520</v>
      </c>
      <c r="H12" s="17">
        <f>SUMIF('📋 Raw Data'!F$2:F$241,F12,'📋 Raw Data'!L$2:L$241)</f>
        <v>31652.024999999998</v>
      </c>
      <c r="I12" s="18">
        <f>IF(G12=0,0,H12/G12)</f>
        <v>0.53178805443548383</v>
      </c>
    </row>
    <row r="13" spans="1:12" x14ac:dyDescent="0.25">
      <c r="A13" s="23" t="s">
        <v>17</v>
      </c>
      <c r="B13" s="20">
        <f>SUMIF('📋 Raw Data'!E$2:E$241,A13,'📋 Raw Data'!J$2:J$241)</f>
        <v>124680</v>
      </c>
      <c r="C13" s="20">
        <f>SUMIF('📋 Raw Data'!E$2:E$241,A13,'📋 Raw Data'!L$2:L$241)</f>
        <v>68677.63499999998</v>
      </c>
      <c r="D13" s="24">
        <f>AVERAGEIF('📋 Raw Data'!E$2:E$241,A13,'📋 Raw Data'!N$2:N$241)</f>
        <v>3.5644444444444447</v>
      </c>
      <c r="F13" s="23" t="s">
        <v>18</v>
      </c>
      <c r="G13" s="20">
        <f>SUMIF('📋 Raw Data'!F$2:F$241,F13,'📋 Raw Data'!J$2:J$241)</f>
        <v>85035</v>
      </c>
      <c r="H13" s="20">
        <f>SUMIF('📋 Raw Data'!F$2:F$241,F13,'📋 Raw Data'!L$2:L$241)</f>
        <v>47329.905000000013</v>
      </c>
      <c r="I13" s="21">
        <f>IF(G13=0,0,H13/G13)</f>
        <v>0.55659322631857489</v>
      </c>
    </row>
    <row r="14" spans="1:12" x14ac:dyDescent="0.25">
      <c r="A14" s="25" t="s">
        <v>36</v>
      </c>
      <c r="B14" s="17">
        <f>SUMIF('📋 Raw Data'!E$2:E$241,A14,'📋 Raw Data'!J$2:J$241)</f>
        <v>84570</v>
      </c>
      <c r="C14" s="17">
        <f>SUMIF('📋 Raw Data'!E$2:E$241,A14,'📋 Raw Data'!L$2:L$241)</f>
        <v>47666.669999999984</v>
      </c>
      <c r="D14" s="26">
        <f>AVERAGEIF('📋 Raw Data'!E$2:E$241,A14,'📋 Raw Data'!N$2:N$241)</f>
        <v>3.8090909090909091</v>
      </c>
      <c r="F14" s="25" t="s">
        <v>27</v>
      </c>
      <c r="G14" s="17">
        <f>SUMIF('📋 Raw Data'!F$2:F$241,F14,'📋 Raw Data'!J$2:J$241)</f>
        <v>122220</v>
      </c>
      <c r="H14" s="17">
        <f>SUMIF('📋 Raw Data'!F$2:F$241,F14,'📋 Raw Data'!L$2:L$241)</f>
        <v>69142.075000000012</v>
      </c>
      <c r="I14" s="18">
        <f>IF(G14=0,0,H14/G14)</f>
        <v>0.56571817214858466</v>
      </c>
    </row>
    <row r="15" spans="1:12" x14ac:dyDescent="0.25">
      <c r="A15" s="23" t="s">
        <v>31</v>
      </c>
      <c r="B15" s="20">
        <f>SUMIF('📋 Raw Data'!E$2:E$241,A15,'📋 Raw Data'!J$2:J$241)</f>
        <v>105525</v>
      </c>
      <c r="C15" s="20">
        <f>SUMIF('📋 Raw Data'!E$2:E$241,A15,'📋 Raw Data'!L$2:L$241)</f>
        <v>58178.115000000013</v>
      </c>
      <c r="D15" s="24">
        <f>AVERAGEIF('📋 Raw Data'!E$2:E$241,A15,'📋 Raw Data'!N$2:N$241)</f>
        <v>3.7160000000000002</v>
      </c>
      <c r="F15" s="23" t="s">
        <v>24</v>
      </c>
      <c r="G15" s="20">
        <f>SUMIF('📋 Raw Data'!F$2:F$241,F15,'📋 Raw Data'!J$2:J$241)</f>
        <v>59335</v>
      </c>
      <c r="H15" s="20">
        <f>SUMIF('📋 Raw Data'!F$2:F$241,F15,'📋 Raw Data'!L$2:L$241)</f>
        <v>34095.180000000008</v>
      </c>
      <c r="I15" s="21">
        <f>IF(G15=0,0,H15/G15)</f>
        <v>0.57462172410887347</v>
      </c>
    </row>
    <row r="19" spans="1:9" ht="25.5" customHeight="1" x14ac:dyDescent="0.25">
      <c r="A19" s="29" t="s">
        <v>77</v>
      </c>
      <c r="B19" s="29"/>
      <c r="C19" s="29"/>
      <c r="D19" s="29"/>
      <c r="F19" s="30" t="s">
        <v>78</v>
      </c>
      <c r="G19" s="30"/>
      <c r="H19" s="30"/>
      <c r="I19" s="30"/>
    </row>
    <row r="20" spans="1:9" x14ac:dyDescent="0.25">
      <c r="A20" s="22" t="s">
        <v>1</v>
      </c>
      <c r="B20" s="22" t="s">
        <v>73</v>
      </c>
      <c r="C20" s="22" t="s">
        <v>74</v>
      </c>
      <c r="D20" s="22" t="s">
        <v>76</v>
      </c>
      <c r="F20" s="22" t="s">
        <v>3</v>
      </c>
      <c r="G20" s="22" t="s">
        <v>73</v>
      </c>
      <c r="H20" s="22" t="s">
        <v>74</v>
      </c>
      <c r="I20" s="22" t="s">
        <v>75</v>
      </c>
    </row>
    <row r="21" spans="1:9" x14ac:dyDescent="0.25">
      <c r="A21" s="23" t="s">
        <v>14</v>
      </c>
      <c r="B21" s="20">
        <f>SUMPRODUCT(('📋 Raw Data'!B$2:B$241=A21)*'📋 Raw Data'!J$2:J$241)</f>
        <v>33225</v>
      </c>
      <c r="C21" s="20">
        <f>SUMPRODUCT(('📋 Raw Data'!B$2:B$241=A21)*'📋 Raw Data'!L$2:L$241)</f>
        <v>19523.54</v>
      </c>
      <c r="D21" s="21">
        <f t="shared" ref="D21:D32" si="0">IF(B21=0,0,C21/B21)</f>
        <v>0.58761595184349136</v>
      </c>
      <c r="F21" s="23" t="s">
        <v>16</v>
      </c>
      <c r="G21" s="20">
        <f>SUMIF('📋 Raw Data'!D$2:D$241,F21,'📋 Raw Data'!J$2:J$241)</f>
        <v>177320</v>
      </c>
      <c r="H21" s="20">
        <f>SUMIF('📋 Raw Data'!D$2:D$241,F21,'📋 Raw Data'!L$2:L$241)</f>
        <v>99693.070000000022</v>
      </c>
      <c r="I21" s="24">
        <f>AVERAGEIF('📋 Raw Data'!D$2:D$241,F21,'📋 Raw Data'!N$2:N$241)</f>
        <v>3.7141176470588229</v>
      </c>
    </row>
    <row r="22" spans="1:9" x14ac:dyDescent="0.25">
      <c r="A22" s="25" t="s">
        <v>46</v>
      </c>
      <c r="B22" s="17">
        <f>SUMPRODUCT(('📋 Raw Data'!B$2:B$241=A22)*'📋 Raw Data'!J$2:J$241)</f>
        <v>38525</v>
      </c>
      <c r="C22" s="17">
        <f>SUMPRODUCT(('📋 Raw Data'!B$2:B$241=A22)*'📋 Raw Data'!L$2:L$241)</f>
        <v>21504.28</v>
      </c>
      <c r="D22" s="18">
        <f t="shared" si="0"/>
        <v>0.55819026606099931</v>
      </c>
      <c r="F22" s="25" t="s">
        <v>26</v>
      </c>
      <c r="G22" s="17">
        <f>SUMIF('📋 Raw Data'!D$2:D$241,F22,'📋 Raw Data'!J$2:J$241)</f>
        <v>153260</v>
      </c>
      <c r="H22" s="17">
        <f>SUMIF('📋 Raw Data'!D$2:D$241,F22,'📋 Raw Data'!L$2:L$241)</f>
        <v>83640.925000000017</v>
      </c>
      <c r="I22" s="26">
        <f>AVERAGEIF('📋 Raw Data'!D$2:D$241,F22,'📋 Raw Data'!N$2:N$241)</f>
        <v>3.7582278481012668</v>
      </c>
    </row>
    <row r="23" spans="1:9" x14ac:dyDescent="0.25">
      <c r="A23" s="23" t="s">
        <v>53</v>
      </c>
      <c r="B23" s="20">
        <f>SUMPRODUCT(('📋 Raw Data'!B$2:B$241=A23)*'📋 Raw Data'!J$2:J$241)</f>
        <v>46790</v>
      </c>
      <c r="C23" s="20">
        <f>SUMPRODUCT(('📋 Raw Data'!B$2:B$241=A23)*'📋 Raw Data'!L$2:L$241)</f>
        <v>24871.434999999998</v>
      </c>
      <c r="D23" s="21">
        <f t="shared" si="0"/>
        <v>0.53155449882453509</v>
      </c>
      <c r="F23" s="23" t="s">
        <v>30</v>
      </c>
      <c r="G23" s="20">
        <f>SUMIF('📋 Raw Data'!D$2:D$241,F23,'📋 Raw Data'!J$2:J$241)</f>
        <v>188640</v>
      </c>
      <c r="H23" s="20">
        <f>SUMIF('📋 Raw Data'!D$2:D$241,F23,'📋 Raw Data'!L$2:L$241)</f>
        <v>104620.27499999999</v>
      </c>
      <c r="I23" s="24">
        <f>AVERAGEIF('📋 Raw Data'!D$2:D$241,F23,'📋 Raw Data'!N$2:N$241)</f>
        <v>3.7723684210526316</v>
      </c>
    </row>
    <row r="24" spans="1:9" x14ac:dyDescent="0.25">
      <c r="A24" s="25" t="s">
        <v>57</v>
      </c>
      <c r="B24" s="17">
        <f>SUMPRODUCT(('📋 Raw Data'!B$2:B$241=A24)*'📋 Raw Data'!J$2:J$241)</f>
        <v>42895</v>
      </c>
      <c r="C24" s="17">
        <f>SUMPRODUCT(('📋 Raw Data'!B$2:B$241=A24)*'📋 Raw Data'!L$2:L$241)</f>
        <v>24632.594999999998</v>
      </c>
      <c r="D24" s="18">
        <f t="shared" si="0"/>
        <v>0.57425329292458327</v>
      </c>
    </row>
    <row r="25" spans="1:9" x14ac:dyDescent="0.25">
      <c r="A25" s="23" t="s">
        <v>58</v>
      </c>
      <c r="B25" s="20">
        <f>SUMPRODUCT(('📋 Raw Data'!B$2:B$241=A25)*'📋 Raw Data'!J$2:J$241)</f>
        <v>53525</v>
      </c>
      <c r="C25" s="20">
        <f>SUMPRODUCT(('📋 Raw Data'!B$2:B$241=A25)*'📋 Raw Data'!L$2:L$241)</f>
        <v>30717.155000000002</v>
      </c>
      <c r="D25" s="21">
        <f t="shared" si="0"/>
        <v>0.57388425969173285</v>
      </c>
    </row>
    <row r="26" spans="1:9" x14ac:dyDescent="0.25">
      <c r="A26" s="25" t="s">
        <v>59</v>
      </c>
      <c r="B26" s="17">
        <f>SUMPRODUCT(('📋 Raw Data'!B$2:B$241=A26)*'📋 Raw Data'!J$2:J$241)</f>
        <v>48295</v>
      </c>
      <c r="C26" s="17">
        <f>SUMPRODUCT(('📋 Raw Data'!B$2:B$241=A26)*'📋 Raw Data'!L$2:L$241)</f>
        <v>27825.949999999997</v>
      </c>
      <c r="D26" s="18">
        <f t="shared" si="0"/>
        <v>0.57616626980018626</v>
      </c>
    </row>
    <row r="27" spans="1:9" x14ac:dyDescent="0.25">
      <c r="A27" s="23" t="s">
        <v>60</v>
      </c>
      <c r="B27" s="20">
        <f>SUMPRODUCT(('📋 Raw Data'!B$2:B$241=A27)*'📋 Raw Data'!J$2:J$241)</f>
        <v>28855</v>
      </c>
      <c r="C27" s="20">
        <f>SUMPRODUCT(('📋 Raw Data'!B$2:B$241=A27)*'📋 Raw Data'!L$2:L$241)</f>
        <v>16303.04</v>
      </c>
      <c r="D27" s="21">
        <f t="shared" si="0"/>
        <v>0.56499878703864148</v>
      </c>
    </row>
    <row r="28" spans="1:9" x14ac:dyDescent="0.25">
      <c r="A28" s="25" t="s">
        <v>61</v>
      </c>
      <c r="B28" s="17">
        <f>SUMPRODUCT(('📋 Raw Data'!B$2:B$241=A28)*'📋 Raw Data'!J$2:J$241)</f>
        <v>47605</v>
      </c>
      <c r="C28" s="17">
        <f>SUMPRODUCT(('📋 Raw Data'!B$2:B$241=A28)*'📋 Raw Data'!L$2:L$241)</f>
        <v>26147.47</v>
      </c>
      <c r="D28" s="18">
        <f t="shared" si="0"/>
        <v>0.54925890137590594</v>
      </c>
    </row>
    <row r="29" spans="1:9" x14ac:dyDescent="0.25">
      <c r="A29" s="23" t="s">
        <v>62</v>
      </c>
      <c r="B29" s="20">
        <f>SUMPRODUCT(('📋 Raw Data'!B$2:B$241=A29)*'📋 Raw Data'!J$2:J$241)</f>
        <v>28860</v>
      </c>
      <c r="C29" s="20">
        <f>SUMPRODUCT(('📋 Raw Data'!B$2:B$241=A29)*'📋 Raw Data'!L$2:L$241)</f>
        <v>15940.480000000001</v>
      </c>
      <c r="D29" s="21">
        <f t="shared" si="0"/>
        <v>0.55233818433818438</v>
      </c>
    </row>
    <row r="30" spans="1:9" x14ac:dyDescent="0.25">
      <c r="A30" s="25" t="s">
        <v>63</v>
      </c>
      <c r="B30" s="17">
        <f>SUMPRODUCT(('📋 Raw Data'!B$2:B$241=A30)*'📋 Raw Data'!J$2:J$241)</f>
        <v>59005</v>
      </c>
      <c r="C30" s="17">
        <f>SUMPRODUCT(('📋 Raw Data'!B$2:B$241=A30)*'📋 Raw Data'!L$2:L$241)</f>
        <v>31575.074999999993</v>
      </c>
      <c r="D30" s="18">
        <f t="shared" si="0"/>
        <v>0.53512541310058459</v>
      </c>
    </row>
    <row r="31" spans="1:9" x14ac:dyDescent="0.25">
      <c r="A31" s="23" t="s">
        <v>64</v>
      </c>
      <c r="B31" s="20">
        <f>SUMPRODUCT(('📋 Raw Data'!B$2:B$241=A31)*'📋 Raw Data'!J$2:J$241)</f>
        <v>49030</v>
      </c>
      <c r="C31" s="20">
        <f>SUMPRODUCT(('📋 Raw Data'!B$2:B$241=A31)*'📋 Raw Data'!L$2:L$241)</f>
        <v>26288.999999999996</v>
      </c>
      <c r="D31" s="21">
        <f t="shared" si="0"/>
        <v>0.53618192943096055</v>
      </c>
    </row>
    <row r="32" spans="1:9" x14ac:dyDescent="0.25">
      <c r="A32" s="25" t="s">
        <v>65</v>
      </c>
      <c r="B32" s="17">
        <f>SUMPRODUCT(('📋 Raw Data'!B$2:B$241=A32)*'📋 Raw Data'!J$2:J$241)</f>
        <v>42610</v>
      </c>
      <c r="C32" s="17">
        <f>SUMPRODUCT(('📋 Raw Data'!B$2:B$241=A32)*'📋 Raw Data'!L$2:L$241)</f>
        <v>22624.25</v>
      </c>
      <c r="D32" s="18">
        <f t="shared" si="0"/>
        <v>0.53096104200891814</v>
      </c>
    </row>
  </sheetData>
  <mergeCells count="18">
    <mergeCell ref="A9:D9"/>
    <mergeCell ref="F9:I9"/>
    <mergeCell ref="A19:D19"/>
    <mergeCell ref="F19:I19"/>
    <mergeCell ref="A6:C6"/>
    <mergeCell ref="D6:F6"/>
    <mergeCell ref="G6:I6"/>
    <mergeCell ref="J6:L6"/>
    <mergeCell ref="A7:C7"/>
    <mergeCell ref="D7:F7"/>
    <mergeCell ref="G7:I7"/>
    <mergeCell ref="J7:L7"/>
    <mergeCell ref="A1:L2"/>
    <mergeCell ref="A3:L3"/>
    <mergeCell ref="A5:C5"/>
    <mergeCell ref="D5:F5"/>
    <mergeCell ref="G5:I5"/>
    <mergeCell ref="J5:L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📋 Raw Data</vt:lpstr>
      <vt:lpstr>📊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2026-05-15T07:40:25Z</dcterms:created>
  <dcterms:modified xsi:type="dcterms:W3CDTF">2026-05-16T22:48:52Z</dcterms:modified>
  <dc:language>en-US</dc:language>
</cp:coreProperties>
</file>